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\OneDrive\Área de Trabalho\Projeto Gerador Pedidos\"/>
    </mc:Choice>
  </mc:AlternateContent>
  <xr:revisionPtr revIDLastSave="0" documentId="8_{DFBF1CCC-2395-4B36-8C72-5B783C7D8B8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Etiqueta luxo" sheetId="7" r:id="rId1"/>
    <sheet name="Etiqueta básica" sheetId="5" r:id="rId2"/>
    <sheet name="Prisma luxo" sheetId="2" r:id="rId3"/>
    <sheet name="Prisma básico" sheetId="6" r:id="rId4"/>
    <sheet name="Constantes" sheetId="4" state="hidden" r:id="rId5"/>
  </sheets>
  <definedNames>
    <definedName name="_xlnm.Print_Area" localSheetId="4">Constantes!$A$13</definedName>
    <definedName name="_xlnm.Print_Area" localSheetId="1">'Etiqueta básica'!$A$1:$F$13</definedName>
    <definedName name="_xlnm.Print_Area" localSheetId="0">'Etiqueta luxo'!$A$1:$F$13</definedName>
    <definedName name="_xlnm.Print_Area" localSheetId="3">'Prisma básico'!$A$1:$D$13</definedName>
    <definedName name="_xlnm.Print_Area" localSheetId="2">'Prisma luxo'!$A$1:$D$13</definedName>
    <definedName name="Conc_pig" localSheetId="3">'Prisma básico'!$G$13</definedName>
    <definedName name="Conc_pig">'Prisma luxo'!$G$13</definedName>
    <definedName name="Material" localSheetId="3">'Prisma básico'!$G$9</definedName>
    <definedName name="Material">'Prisma luxo'!$G$9</definedName>
    <definedName name="Peças_inj" localSheetId="3">'Prisma básico'!$G$5</definedName>
    <definedName name="Peças_inj">'Prisma luxo'!$G$5</definedName>
    <definedName name="Peso_inj" localSheetId="3">'Prisma básico'!$G$3</definedName>
    <definedName name="Peso_inj">'Prisma luxo'!$G$3</definedName>
    <definedName name="Tempo_ciclo" localSheetId="3">'Prisma básico'!$G$7</definedName>
    <definedName name="Tempo_ciclo">'Prisma luxo'!$G$7</definedName>
    <definedName name="TempoProd">'Prisma luxo'!$H$3:$H$18</definedName>
    <definedName name="Usa_pig" localSheetId="3">'Prisma básico'!$G$11</definedName>
    <definedName name="Usa_pig">'Prisma luxo'!$G$11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7" l="1"/>
  <c r="J11" i="7"/>
  <c r="J9" i="7"/>
  <c r="J7" i="7"/>
  <c r="J3" i="7"/>
  <c r="J5" i="7"/>
  <c r="F15" i="7"/>
  <c r="E15" i="7"/>
  <c r="D15" i="7"/>
  <c r="B13" i="7"/>
  <c r="K12" i="7"/>
  <c r="J12" i="7"/>
  <c r="E12" i="7"/>
  <c r="D12" i="7"/>
  <c r="K11" i="7"/>
  <c r="E11" i="7"/>
  <c r="D11" i="7"/>
  <c r="K10" i="7"/>
  <c r="J10" i="7"/>
  <c r="E10" i="7"/>
  <c r="D10" i="7"/>
  <c r="K9" i="7"/>
  <c r="E9" i="7"/>
  <c r="D9" i="7"/>
  <c r="K8" i="7"/>
  <c r="J8" i="7"/>
  <c r="E8" i="7"/>
  <c r="D8" i="7"/>
  <c r="K7" i="7"/>
  <c r="E7" i="7"/>
  <c r="D7" i="7"/>
  <c r="K6" i="7"/>
  <c r="J6" i="7"/>
  <c r="E6" i="7"/>
  <c r="D6" i="7"/>
  <c r="K5" i="7"/>
  <c r="E5" i="7"/>
  <c r="D5" i="7"/>
  <c r="K4" i="7"/>
  <c r="J4" i="7"/>
  <c r="E4" i="7"/>
  <c r="D4" i="7"/>
  <c r="K3" i="7"/>
  <c r="I3" i="7"/>
  <c r="D3" i="7"/>
  <c r="J2" i="7"/>
  <c r="B13" i="6"/>
  <c r="B22" i="6"/>
  <c r="C5" i="6"/>
  <c r="C6" i="6"/>
  <c r="C7" i="6"/>
  <c r="C8" i="6"/>
  <c r="C9" i="6"/>
  <c r="C10" i="6"/>
  <c r="C11" i="6"/>
  <c r="C12" i="6"/>
  <c r="B13" i="2"/>
  <c r="C5" i="2"/>
  <c r="C6" i="2"/>
  <c r="C7" i="2"/>
  <c r="C8" i="2"/>
  <c r="C9" i="2"/>
  <c r="C10" i="2"/>
  <c r="C11" i="2"/>
  <c r="C12" i="2"/>
  <c r="J4" i="5"/>
  <c r="J5" i="5"/>
  <c r="J6" i="5"/>
  <c r="J7" i="5"/>
  <c r="J8" i="5"/>
  <c r="J9" i="5"/>
  <c r="J10" i="5"/>
  <c r="J11" i="5"/>
  <c r="J12" i="5"/>
  <c r="J3" i="5"/>
  <c r="B13" i="5"/>
  <c r="D3" i="5"/>
  <c r="G12" i="2"/>
  <c r="G13" i="2"/>
  <c r="D35" i="6"/>
  <c r="C35" i="6"/>
  <c r="D34" i="6"/>
  <c r="C34" i="6"/>
  <c r="D33" i="6"/>
  <c r="C33" i="6"/>
  <c r="D32" i="6"/>
  <c r="C32" i="6"/>
  <c r="D21" i="6"/>
  <c r="D20" i="6"/>
  <c r="C20" i="6"/>
  <c r="D19" i="6"/>
  <c r="D18" i="6"/>
  <c r="C18" i="6"/>
  <c r="D17" i="6"/>
  <c r="C17" i="6"/>
  <c r="E16" i="6"/>
  <c r="D16" i="6"/>
  <c r="C16" i="6"/>
  <c r="D15" i="6"/>
  <c r="C15" i="6"/>
  <c r="D14" i="6"/>
  <c r="C14" i="6"/>
  <c r="G11" i="6"/>
  <c r="G9" i="6"/>
  <c r="G7" i="6"/>
  <c r="H5" i="6" s="1"/>
  <c r="G5" i="6"/>
  <c r="C3" i="6" s="1"/>
  <c r="G3" i="6"/>
  <c r="E16" i="2"/>
  <c r="D20" i="2"/>
  <c r="D21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E4" i="5"/>
  <c r="I2" i="5"/>
  <c r="I4" i="5"/>
  <c r="I5" i="5"/>
  <c r="H11" i="5" s="1"/>
  <c r="F11" i="5" s="1"/>
  <c r="I6" i="5"/>
  <c r="F15" i="5"/>
  <c r="E15" i="5"/>
  <c r="D15" i="5"/>
  <c r="I13" i="5"/>
  <c r="I12" i="5"/>
  <c r="E12" i="5"/>
  <c r="D12" i="5"/>
  <c r="I11" i="5"/>
  <c r="E11" i="5"/>
  <c r="D11" i="5"/>
  <c r="I10" i="5"/>
  <c r="E10" i="5"/>
  <c r="D10" i="5"/>
  <c r="I9" i="5"/>
  <c r="E9" i="5"/>
  <c r="D9" i="5"/>
  <c r="I8" i="5"/>
  <c r="E8" i="5"/>
  <c r="D8" i="5"/>
  <c r="E7" i="5"/>
  <c r="D7" i="5"/>
  <c r="E6" i="5"/>
  <c r="D6" i="5"/>
  <c r="E5" i="5"/>
  <c r="D5" i="5"/>
  <c r="D4" i="5"/>
  <c r="C20" i="2"/>
  <c r="B11" i="4"/>
  <c r="C11" i="4"/>
  <c r="D11" i="4"/>
  <c r="E11" i="4"/>
  <c r="F11" i="4"/>
  <c r="G11" i="4"/>
  <c r="G3" i="2"/>
  <c r="G5" i="2"/>
  <c r="G7" i="2"/>
  <c r="H3" i="2" s="1"/>
  <c r="G9" i="2"/>
  <c r="G11" i="2"/>
  <c r="C32" i="2"/>
  <c r="C33" i="2"/>
  <c r="C34" i="2"/>
  <c r="C35" i="2"/>
  <c r="D13" i="5" l="1"/>
  <c r="H7" i="6"/>
  <c r="F6" i="2"/>
  <c r="D6" i="2" s="1"/>
  <c r="H12" i="6"/>
  <c r="H4" i="6"/>
  <c r="C4" i="6"/>
  <c r="H11" i="6"/>
  <c r="F3" i="7"/>
  <c r="H8" i="6"/>
  <c r="D13" i="7"/>
  <c r="I5" i="7"/>
  <c r="F5" i="7" s="1"/>
  <c r="I7" i="7"/>
  <c r="F7" i="7" s="1"/>
  <c r="I11" i="7"/>
  <c r="F11" i="7" s="1"/>
  <c r="C3" i="2"/>
  <c r="H10" i="6"/>
  <c r="H6" i="6"/>
  <c r="H3" i="6"/>
  <c r="H9" i="6"/>
  <c r="C4" i="2"/>
  <c r="I8" i="7"/>
  <c r="F8" i="7" s="1"/>
  <c r="I10" i="7"/>
  <c r="F10" i="7" s="1"/>
  <c r="I12" i="7"/>
  <c r="F12" i="7" s="1"/>
  <c r="I4" i="7"/>
  <c r="I6" i="7"/>
  <c r="F6" i="7" s="1"/>
  <c r="E3" i="7"/>
  <c r="I9" i="7"/>
  <c r="F9" i="7" s="1"/>
  <c r="H7" i="2"/>
  <c r="H11" i="2"/>
  <c r="H10" i="2"/>
  <c r="H6" i="2"/>
  <c r="F10" i="2"/>
  <c r="D10" i="2" s="1"/>
  <c r="F9" i="2"/>
  <c r="D9" i="2" s="1"/>
  <c r="H9" i="2"/>
  <c r="H5" i="2"/>
  <c r="F3" i="2"/>
  <c r="F7" i="2"/>
  <c r="D7" i="2" s="1"/>
  <c r="F5" i="2"/>
  <c r="D5" i="2" s="1"/>
  <c r="H12" i="2"/>
  <c r="H8" i="2"/>
  <c r="H4" i="2"/>
  <c r="E13" i="7" s="1"/>
  <c r="F5" i="6"/>
  <c r="D5" i="6" s="1"/>
  <c r="F6" i="6"/>
  <c r="D6" i="6" s="1"/>
  <c r="F10" i="6"/>
  <c r="D10" i="6" s="1"/>
  <c r="F3" i="6"/>
  <c r="F4" i="6"/>
  <c r="D4" i="6" s="1"/>
  <c r="F11" i="6"/>
  <c r="D11" i="6" s="1"/>
  <c r="F12" i="6"/>
  <c r="D12" i="6" s="1"/>
  <c r="F9" i="6"/>
  <c r="D9" i="6" s="1"/>
  <c r="F7" i="6"/>
  <c r="D7" i="6" s="1"/>
  <c r="F8" i="6"/>
  <c r="D8" i="6" s="1"/>
  <c r="F12" i="2"/>
  <c r="D12" i="2" s="1"/>
  <c r="F8" i="2"/>
  <c r="D8" i="2" s="1"/>
  <c r="F4" i="2"/>
  <c r="D4" i="2" s="1"/>
  <c r="F11" i="2"/>
  <c r="D11" i="2" s="1"/>
  <c r="H7" i="5"/>
  <c r="F7" i="5" s="1"/>
  <c r="H3" i="5"/>
  <c r="H4" i="5"/>
  <c r="F4" i="5" s="1"/>
  <c r="H8" i="5"/>
  <c r="F8" i="5" s="1"/>
  <c r="H12" i="5"/>
  <c r="F12" i="5" s="1"/>
  <c r="E3" i="5"/>
  <c r="H5" i="5"/>
  <c r="F5" i="5" s="1"/>
  <c r="H9" i="5"/>
  <c r="F9" i="5" s="1"/>
  <c r="H6" i="5"/>
  <c r="F6" i="5" s="1"/>
  <c r="H10" i="5"/>
  <c r="F10" i="5" s="1"/>
  <c r="F3" i="5" l="1"/>
  <c r="F13" i="5"/>
  <c r="F13" i="7"/>
  <c r="F4" i="7"/>
  <c r="C13" i="6"/>
  <c r="D13" i="6"/>
  <c r="C13" i="2"/>
  <c r="D3" i="2"/>
  <c r="D13" i="2"/>
  <c r="D3" i="6"/>
  <c r="E13" i="5"/>
  <c r="D22" i="6"/>
  <c r="C2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Salvagni Ballico</author>
  </authors>
  <commentList>
    <comment ref="B13" authorId="0" shapeId="0" xr:uid="{FF1DB51E-E68D-4A0E-9862-97A544CDECEA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"Peças: " concatenado com soma das quantidades</t>
        </r>
      </text>
    </comment>
    <comment ref="F13" authorId="0" shapeId="0" xr:uid="{ED766559-6C06-4A48-9D9C-AC8512ABC105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concatenação da soma dos material prod (coluna F) com o material (constantes coluna G)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Salvagni Ballico</author>
  </authors>
  <commentList>
    <comment ref="B13" authorId="0" shapeId="0" xr:uid="{2965FFC1-8BEC-4BAC-918E-A8DEE490F1D9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"Peças: " concatenado com soma das quantidades</t>
        </r>
      </text>
    </comment>
    <comment ref="F13" authorId="0" shapeId="0" xr:uid="{6DB0D02A-441D-4E9C-8865-0100FE08B51C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concatenação da soma dos material prod (coluna F) com o material (constantes coluna G)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Salvagni Ballico</author>
  </authors>
  <commentList>
    <comment ref="C2" authorId="0" shapeId="0" xr:uid="{76B9D7F4-C551-4141-B938-CC8D32A74D88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Se a célula de cor estiver preenchida, arredonda para cima o cálculo de ((quantidade/peças por injetado)*tempo de ciclo)/3600 (uma hora em segundos) com 0 casas decimais e concateno com "horas", se não vazio ("")</t>
        </r>
      </text>
    </comment>
    <comment ref="D2" authorId="0" shapeId="0" xr:uid="{C17ACBEC-64AB-40EF-9F85-33B6F1582B9F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Se cor está preenchida, material prod(coluna F) concatenado com "kg " com material (constante coluna G) concatenado com " + " e material prod * % de pigmento (constantes coluna G) concatenado com "kg pigmento", se não, vazio ("").</t>
        </r>
      </text>
    </comment>
    <comment ref="B13" authorId="0" shapeId="0" xr:uid="{D2942B2E-3D8D-4857-94C2-4A6C431C75F9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"Peças: " concatenado com soma das quantidades</t>
        </r>
      </text>
    </comment>
    <comment ref="C13" authorId="0" shapeId="0" xr:uid="{BAF379D9-7DE6-4103-B702-CD4F8F4E1325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se a soma do tempo prod (coluna H) for superior a 10 horas, quebra em dias dividindo por 10 para retornar os dias e utilizando o mod() para capturar o resto da divisão para as horas, e se for menor de 10, simplesmente imprime as horas</t>
        </r>
      </text>
    </comment>
    <comment ref="D13" authorId="0" shapeId="0" xr:uid="{A17D8D45-41F2-4512-A922-79209E16B7CC}">
      <text>
        <r>
          <rPr>
            <b/>
            <sz val="9"/>
            <color indexed="81"/>
            <rFont val="Segoe UI"/>
            <family val="2"/>
          </rPr>
          <t>Eduardo Salvagni Ballico:</t>
        </r>
        <r>
          <rPr>
            <sz val="9"/>
            <color indexed="81"/>
            <rFont val="Segoe UI"/>
            <family val="2"/>
          </rPr>
          <t xml:space="preserve">
concatenação da soma dos material prod (coluna F) com o material (constantes coluna G)
</t>
        </r>
      </text>
    </comment>
  </commentList>
</comments>
</file>

<file path=xl/sharedStrings.xml><?xml version="1.0" encoding="utf-8"?>
<sst xmlns="http://schemas.openxmlformats.org/spreadsheetml/2006/main" count="77" uniqueCount="36">
  <si>
    <t>Cor</t>
  </si>
  <si>
    <t>Quantidade</t>
  </si>
  <si>
    <t>Porto Alegre</t>
  </si>
  <si>
    <t>Serigrafia</t>
  </si>
  <si>
    <t>Tempo produção</t>
  </si>
  <si>
    <t>Material</t>
  </si>
  <si>
    <t>PRISMA LUXO</t>
  </si>
  <si>
    <t>Peso por injetado(kg)</t>
  </si>
  <si>
    <t>Peças por injetado</t>
  </si>
  <si>
    <t>Tempo de ciclo (seg)</t>
  </si>
  <si>
    <t>Usa pigmento</t>
  </si>
  <si>
    <t>% de pigmento</t>
  </si>
  <si>
    <t>Material prod</t>
  </si>
  <si>
    <t>Peça</t>
  </si>
  <si>
    <t>Etiqueta luxo</t>
  </si>
  <si>
    <t>PP</t>
  </si>
  <si>
    <t>Etiqueta básica</t>
  </si>
  <si>
    <t>Prisma luxo</t>
  </si>
  <si>
    <t>PS</t>
  </si>
  <si>
    <t>Prisma básico</t>
  </si>
  <si>
    <t>Base borracha</t>
  </si>
  <si>
    <t>TPE</t>
  </si>
  <si>
    <t>Bandeira</t>
  </si>
  <si>
    <t>Régua</t>
  </si>
  <si>
    <t>Componentes régua</t>
  </si>
  <si>
    <t>POM</t>
  </si>
  <si>
    <t>Pinos régua</t>
  </si>
  <si>
    <t>Pinos dentados régua</t>
  </si>
  <si>
    <t>Base presilha régua</t>
  </si>
  <si>
    <t>Nível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</si>
  <si>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</si>
  <si>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TOTAIS:</t>
  </si>
  <si>
    <t>ETIQUETA LUXO</t>
  </si>
  <si>
    <t>ETIQUETA BÁSICA</t>
  </si>
  <si>
    <t>PRISMA BÁSICO</t>
  </si>
  <si>
    <t>Tempo 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</si>
</sst>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33" x14ac:knownFonts="1">
    <font>
      <sz val="10"/>
      <color rgb="FFFFFFFF"/>
      <name val="Arial"/>
      <family val="2"/>
    </font>
    <font>
      <sz val="10"/>
      <color indexed="9"/>
      <name val="Arial"/>
      <family val="2"/>
    </font>
    <font>
      <sz val="10"/>
      <color indexed="60"/>
      <name val="Arial"/>
      <family val="2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sz val="13"/>
      <color indexed="8"/>
      <name val="Arial"/>
      <family val="2"/>
    </font>
    <font>
      <sz val="10"/>
      <color indexed="8"/>
      <name val="Arial"/>
      <family val="2"/>
    </font>
    <font>
      <b/>
      <sz val="16"/>
      <color indexed="9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333333"/>
      <name val="Arial"/>
      <family val="2"/>
    </font>
    <font>
      <b/>
      <i/>
      <u/>
      <sz val="10"/>
      <color rgb="FFFFFFFF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sz val="11"/>
      <color theme="1"/>
      <name val="Arial"/>
      <family val="2"/>
    </font>
    <font>
      <b/>
      <sz val="16"/>
      <color theme="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3"/>
      <color theme="0"/>
      <name val="Arial"/>
      <family val="2"/>
    </font>
    <font>
      <b/>
      <sz val="13"/>
      <color indexed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solid">
        <fgColor indexed="51"/>
        <bgColor indexed="51"/>
      </patternFill>
    </fill>
    <fill>
      <patternFill patternType="solid">
        <fgColor indexed="63"/>
        <bgColor indexed="63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1" tint="0.249977111117893"/>
        <bgColor indexed="64"/>
      </patternFill>
    </fill>
  </fills>
  <borders count="2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 tint="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theme="1" tint="0.34998626667073579"/>
      </right>
      <top style="thin">
        <color indexed="64"/>
      </top>
      <bottom/>
      <diagonal/>
    </border>
    <border>
      <left style="hair">
        <color theme="1" tint="0.34998626667073579"/>
      </left>
      <right style="hair">
        <color theme="1" tint="0.34998626667073579"/>
      </right>
      <top style="thin">
        <color indexed="64"/>
      </top>
      <bottom/>
      <diagonal/>
    </border>
    <border>
      <left style="hair">
        <color theme="1" tint="0.34998626667073579"/>
      </left>
      <right/>
      <top style="thin">
        <color indexed="64"/>
      </top>
      <bottom/>
      <diagonal/>
    </border>
    <border>
      <left/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/>
      <bottom/>
      <diagonal/>
    </border>
    <border>
      <left style="hair">
        <color theme="1" tint="0.34998626667073579"/>
      </left>
      <right/>
      <top/>
      <bottom/>
      <diagonal/>
    </border>
    <border>
      <left/>
      <right style="hair">
        <color theme="1" tint="0.34998626667073579"/>
      </right>
      <top/>
      <bottom style="thin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thin">
        <color indexed="64"/>
      </bottom>
      <diagonal/>
    </border>
    <border>
      <left style="hair">
        <color theme="1" tint="0.34998626667073579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/>
      <bottom/>
      <diagonal/>
    </border>
  </borders>
  <cellStyleXfs count="23">
    <xf numFmtId="0" fontId="0" fillId="0" borderId="0"/>
    <xf numFmtId="0" fontId="8" fillId="0" borderId="0" applyNumberFormat="0" applyBorder="0" applyProtection="0"/>
    <xf numFmtId="0" fontId="1" fillId="5" borderId="0" applyNumberFormat="0" applyFont="0" applyBorder="0" applyProtection="0"/>
    <xf numFmtId="0" fontId="1" fillId="6" borderId="0" applyNumberFormat="0" applyFont="0" applyBorder="0" applyProtection="0"/>
    <xf numFmtId="0" fontId="8" fillId="2" borderId="0" applyNumberFormat="0" applyBorder="0" applyProtection="0"/>
    <xf numFmtId="0" fontId="9" fillId="7" borderId="0" applyNumberFormat="0" applyBorder="0" applyProtection="0"/>
    <xf numFmtId="0" fontId="10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" fillId="0" borderId="0" applyNumberFormat="0" applyFont="0" applyBorder="0" applyProtection="0"/>
    <xf numFmtId="0" fontId="11" fillId="8" borderId="0" applyNumberFormat="0" applyBorder="0" applyProtection="0"/>
    <xf numFmtId="0" fontId="12" fillId="0" borderId="0" applyNumberFormat="0" applyBorder="0" applyProtection="0"/>
    <xf numFmtId="0" fontId="13" fillId="9" borderId="0" applyNumberFormat="0" applyBorder="0" applyProtection="0"/>
    <xf numFmtId="0" fontId="14" fillId="0" borderId="0" applyNumberFormat="0" applyBorder="0" applyProtection="0"/>
    <xf numFmtId="0" fontId="15" fillId="0" borderId="0" applyNumberFormat="0" applyBorder="0" applyProtection="0"/>
    <xf numFmtId="0" fontId="16" fillId="0" borderId="0" applyNumberFormat="0" applyBorder="0" applyProtection="0"/>
    <xf numFmtId="0" fontId="17" fillId="0" borderId="0" applyNumberFormat="0" applyBorder="0" applyProtection="0"/>
    <xf numFmtId="0" fontId="2" fillId="10" borderId="0" applyNumberFormat="0" applyBorder="0" applyProtection="0"/>
    <xf numFmtId="0" fontId="18" fillId="10" borderId="1" applyNumberFormat="0" applyProtection="0"/>
    <xf numFmtId="0" fontId="19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9" fillId="0" borderId="0" applyNumberFormat="0" applyBorder="0" applyProtection="0"/>
  </cellStyleXfs>
  <cellXfs count="66">
    <xf numFmtId="0" fontId="0" fillId="0" borderId="0" xfId="0"/>
    <xf numFmtId="0" fontId="4" fillId="0" borderId="0" xfId="0" applyFont="1"/>
    <xf numFmtId="164" fontId="4" fillId="0" borderId="0" xfId="0" applyNumberFormat="1" applyFont="1"/>
    <xf numFmtId="10" fontId="4" fillId="0" borderId="0" xfId="0" applyNumberFormat="1" applyFont="1"/>
    <xf numFmtId="0" fontId="23" fillId="0" borderId="15" xfId="0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left" vertical="center" indent="1"/>
      <protection locked="0"/>
    </xf>
    <xf numFmtId="0" fontId="23" fillId="0" borderId="18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</xf>
    <xf numFmtId="0" fontId="32" fillId="0" borderId="0" xfId="0" applyFont="1"/>
    <xf numFmtId="0" fontId="23" fillId="0" borderId="16" xfId="0" applyFont="1" applyBorder="1" applyAlignment="1" applyProtection="1">
      <alignment horizontal="left" vertical="center" indent="1"/>
    </xf>
    <xf numFmtId="0" fontId="23" fillId="0" borderId="16" xfId="0" applyFont="1" applyBorder="1" applyAlignment="1" applyProtection="1">
      <alignment horizontal="center" vertical="center"/>
    </xf>
    <xf numFmtId="0" fontId="23" fillId="0" borderId="19" xfId="0" applyFont="1" applyBorder="1" applyAlignment="1" applyProtection="1">
      <alignment horizontal="left" vertical="center" indent="1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5" fillId="4" borderId="9" xfId="0" applyFont="1" applyFill="1" applyBorder="1" applyAlignment="1" applyProtection="1">
      <alignment horizontal="center" vertical="center"/>
    </xf>
    <xf numFmtId="0" fontId="25" fillId="4" borderId="8" xfId="0" applyFont="1" applyFill="1" applyBorder="1" applyAlignment="1" applyProtection="1">
      <alignment horizontal="center" vertical="center"/>
    </xf>
    <xf numFmtId="0" fontId="25" fillId="4" borderId="11" xfId="0" applyFont="1" applyFill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0" fillId="0" borderId="0" xfId="0" applyProtection="1"/>
    <xf numFmtId="0" fontId="20" fillId="0" borderId="0" xfId="0" applyFont="1" applyProtection="1"/>
    <xf numFmtId="0" fontId="26" fillId="0" borderId="0" xfId="0" applyFont="1" applyProtection="1"/>
    <xf numFmtId="0" fontId="21" fillId="0" borderId="12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 vertical="center"/>
    </xf>
    <xf numFmtId="0" fontId="22" fillId="0" borderId="13" xfId="0" applyFont="1" applyBorder="1" applyAlignment="1" applyProtection="1">
      <alignment horizontal="center" vertical="center"/>
    </xf>
    <xf numFmtId="0" fontId="21" fillId="0" borderId="14" xfId="0" applyFont="1" applyBorder="1" applyAlignment="1" applyProtection="1">
      <alignment horizontal="center" vertical="center"/>
    </xf>
    <xf numFmtId="0" fontId="4" fillId="0" borderId="0" xfId="0" applyFont="1" applyProtection="1"/>
    <xf numFmtId="0" fontId="23" fillId="0" borderId="17" xfId="0" applyFont="1" applyBorder="1" applyAlignment="1" applyProtection="1">
      <alignment horizontal="center" vertical="center"/>
    </xf>
    <xf numFmtId="0" fontId="23" fillId="0" borderId="19" xfId="0" applyFont="1" applyBorder="1" applyAlignment="1" applyProtection="1">
      <alignment horizontal="left" vertical="center" indent="1"/>
    </xf>
    <xf numFmtId="0" fontId="23" fillId="0" borderId="19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</xf>
    <xf numFmtId="10" fontId="4" fillId="0" borderId="0" xfId="0" applyNumberFormat="1" applyFont="1" applyProtection="1"/>
    <xf numFmtId="0" fontId="23" fillId="0" borderId="22" xfId="0" applyFont="1" applyBorder="1" applyAlignment="1" applyProtection="1">
      <alignment horizontal="left" vertical="center" indent="1"/>
    </xf>
    <xf numFmtId="0" fontId="23" fillId="0" borderId="22" xfId="0" applyFont="1" applyBorder="1" applyAlignment="1" applyProtection="1">
      <alignment horizontal="center" vertical="center"/>
    </xf>
    <xf numFmtId="0" fontId="23" fillId="0" borderId="23" xfId="0" applyFont="1" applyBorder="1" applyAlignment="1" applyProtection="1">
      <alignment horizontal="center" vertical="center"/>
    </xf>
    <xf numFmtId="0" fontId="28" fillId="11" borderId="2" xfId="0" applyFont="1" applyFill="1" applyBorder="1" applyAlignment="1" applyProtection="1">
      <alignment horizontal="center" vertical="center"/>
    </xf>
    <xf numFmtId="0" fontId="22" fillId="0" borderId="3" xfId="0" applyFont="1" applyBorder="1" applyAlignment="1" applyProtection="1">
      <alignment horizontal="center" vertical="center"/>
    </xf>
    <xf numFmtId="0" fontId="22" fillId="0" borderId="6" xfId="0" applyFont="1" applyBorder="1" applyAlignment="1" applyProtection="1">
      <alignment horizontal="center" vertical="center"/>
    </xf>
    <xf numFmtId="0" fontId="22" fillId="0" borderId="4" xfId="0" applyFont="1" applyBorder="1" applyAlignment="1" applyProtection="1">
      <alignment horizontal="center" vertical="center"/>
    </xf>
    <xf numFmtId="0" fontId="29" fillId="0" borderId="4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4" fillId="0" borderId="0" xfId="0" applyFont="1" applyProtection="1"/>
    <xf numFmtId="0" fontId="23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left" vertical="center"/>
    </xf>
    <xf numFmtId="0" fontId="20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vertical="center"/>
    </xf>
    <xf numFmtId="0" fontId="27" fillId="0" borderId="0" xfId="0" applyFont="1" applyProtection="1"/>
    <xf numFmtId="0" fontId="6" fillId="0" borderId="0" xfId="0" applyFont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5" fillId="0" borderId="17" xfId="0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center" vertical="center"/>
    </xf>
    <xf numFmtId="0" fontId="22" fillId="0" borderId="3" xfId="0" applyFont="1" applyBorder="1" applyAlignment="1" applyProtection="1">
      <alignment horizontal="center" vertical="center"/>
    </xf>
    <xf numFmtId="0" fontId="22" fillId="0" borderId="2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25" fillId="4" borderId="24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</cellXfs>
  <cellStyles count="23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cf1" xfId="6" xr:uid="{00000000-0005-0000-0000-000005000000}"/>
    <cellStyle name="cf2" xfId="7" xr:uid="{00000000-0005-0000-0000-000006000000}"/>
    <cellStyle name="ConditionalStyle_1" xfId="8" xr:uid="{00000000-0005-0000-0000-000007000000}"/>
    <cellStyle name="Error" xfId="9" xr:uid="{00000000-0005-0000-0000-000008000000}"/>
    <cellStyle name="Footnote" xfId="10" xr:uid="{00000000-0005-0000-0000-000009000000}"/>
    <cellStyle name="Good" xfId="11" xr:uid="{00000000-0005-0000-0000-00000A000000}"/>
    <cellStyle name="Heading" xfId="12" xr:uid="{00000000-0005-0000-0000-00000B000000}"/>
    <cellStyle name="Heading 1" xfId="13" xr:uid="{00000000-0005-0000-0000-00000C000000}"/>
    <cellStyle name="Heading 2" xfId="14" xr:uid="{00000000-0005-0000-0000-00000D000000}"/>
    <cellStyle name="Hyperlink" xfId="15" xr:uid="{00000000-0005-0000-0000-00000E000000}"/>
    <cellStyle name="Neutral" xfId="16" xr:uid="{00000000-0005-0000-0000-00000F000000}"/>
    <cellStyle name="Normal" xfId="0" builtinId="0" customBuiltin="1"/>
    <cellStyle name="Note" xfId="17" xr:uid="{00000000-0005-0000-0000-000011000000}"/>
    <cellStyle name="Result" xfId="18" xr:uid="{00000000-0005-0000-0000-000012000000}"/>
    <cellStyle name="Status" xfId="19" xr:uid="{00000000-0005-0000-0000-000013000000}"/>
    <cellStyle name="Sumir" xfId="20" xr:uid="{00000000-0005-0000-0000-000014000000}"/>
    <cellStyle name="Text" xfId="21" xr:uid="{00000000-0005-0000-0000-000015000000}"/>
    <cellStyle name="Warning" xfId="22" xr:uid="{00000000-0005-0000-0000-000016000000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  <vertical/>
        <horizontal/>
      </border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  <vertical/>
        <horizontal/>
      </border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theme="1" tint="0.34998626667073579"/>
        </left>
        <right/>
        <top/>
        <bottom/>
        <vertical style="hair">
          <color theme="1" tint="0.34998626667073579"/>
        </vertical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indexed="8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protection locked="1" hidden="0"/>
    </dxf>
    <dxf>
      <border diagonalUp="0" diagonalDown="0">
        <left style="dotted">
          <color auto="1"/>
        </left>
        <right style="dotted">
          <color auto="1"/>
        </right>
        <top/>
        <bottom/>
        <vertical style="dotted">
          <color auto="1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theme="1" tint="0.34998626667073579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  <border diagonalUp="0" diagonalDown="0">
        <left/>
        <right style="hair">
          <color theme="1" tint="0.3499862666707357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 style="hair">
          <color theme="1" tint="0.34998626667073579"/>
        </left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protection hidden="0"/>
    </dxf>
    <dxf>
      <border diagonalUp="0" diagonalDown="0">
        <left style="dotted">
          <color auto="1"/>
        </left>
        <right style="dotted">
          <color auto="1"/>
        </right>
        <top/>
        <bottom/>
        <vertical style="dotted">
          <color auto="1"/>
        </vertical>
        <horizontal/>
      </border>
      <protection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/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theme="1" tint="0.34998626667073579"/>
        </left>
        <right/>
        <top/>
        <bottom/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hair">
          <color theme="1" tint="0.34998626667073579"/>
        </right>
        <top/>
        <bottom/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  <border diagonalUp="0" diagonalDown="0">
        <left/>
        <right style="hair">
          <color theme="1" tint="0.34998626667073579"/>
        </right>
        <top/>
        <bottom/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64" formatCode="#,##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1</xdr:row>
      <xdr:rowOff>409576</xdr:rowOff>
    </xdr:from>
    <xdr:to>
      <xdr:col>13</xdr:col>
      <xdr:colOff>142874</xdr:colOff>
      <xdr:row>3</xdr:row>
      <xdr:rowOff>295275</xdr:rowOff>
    </xdr:to>
    <xdr:sp macro="[0]!ImprimirE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8A3BE85-7DF0-54A9-843B-9B89675F2439}"/>
            </a:ext>
          </a:extLst>
        </xdr:cNvPr>
        <xdr:cNvSpPr/>
      </xdr:nvSpPr>
      <xdr:spPr>
        <a:xfrm>
          <a:off x="9267824" y="914401"/>
          <a:ext cx="2009775" cy="828674"/>
        </a:xfrm>
        <a:prstGeom prst="roundRect">
          <a:avLst>
            <a:gd name="adj" fmla="val 18502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Imprimir</a:t>
          </a:r>
        </a:p>
      </xdr:txBody>
    </xdr:sp>
    <xdr:clientData/>
  </xdr:twoCellAnchor>
  <xdr:twoCellAnchor>
    <xdr:from>
      <xdr:col>11</xdr:col>
      <xdr:colOff>28575</xdr:colOff>
      <xdr:row>3</xdr:row>
      <xdr:rowOff>428625</xdr:rowOff>
    </xdr:from>
    <xdr:to>
      <xdr:col>13</xdr:col>
      <xdr:colOff>123825</xdr:colOff>
      <xdr:row>5</xdr:row>
      <xdr:rowOff>171450</xdr:rowOff>
    </xdr:to>
    <xdr:sp macro="[0]!LimparE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73B7418-9EC0-C042-F35F-52CB5CF1D105}"/>
            </a:ext>
          </a:extLst>
        </xdr:cNvPr>
        <xdr:cNvSpPr/>
      </xdr:nvSpPr>
      <xdr:spPr>
        <a:xfrm>
          <a:off x="9296400" y="1876425"/>
          <a:ext cx="1962150" cy="7905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1</xdr:row>
      <xdr:rowOff>409575</xdr:rowOff>
    </xdr:from>
    <xdr:to>
      <xdr:col>11</xdr:col>
      <xdr:colOff>600075</xdr:colOff>
      <xdr:row>3</xdr:row>
      <xdr:rowOff>295274</xdr:rowOff>
    </xdr:to>
    <xdr:sp macro="[0]!ImprimirEB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1C267A3-AABE-419F-89AA-A517D1CEBB26}"/>
            </a:ext>
          </a:extLst>
        </xdr:cNvPr>
        <xdr:cNvSpPr/>
      </xdr:nvSpPr>
      <xdr:spPr>
        <a:xfrm>
          <a:off x="9144000" y="914400"/>
          <a:ext cx="2009775" cy="828674"/>
        </a:xfrm>
        <a:prstGeom prst="roundRect">
          <a:avLst>
            <a:gd name="adj" fmla="val 18502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Imprimir</a:t>
          </a:r>
        </a:p>
      </xdr:txBody>
    </xdr:sp>
    <xdr:clientData/>
  </xdr:twoCellAnchor>
  <xdr:twoCellAnchor>
    <xdr:from>
      <xdr:col>6</xdr:col>
      <xdr:colOff>514350</xdr:colOff>
      <xdr:row>3</xdr:row>
      <xdr:rowOff>438150</xdr:rowOff>
    </xdr:from>
    <xdr:to>
      <xdr:col>11</xdr:col>
      <xdr:colOff>581025</xdr:colOff>
      <xdr:row>5</xdr:row>
      <xdr:rowOff>180975</xdr:rowOff>
    </xdr:to>
    <xdr:sp macro="[0]!LimparEB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60FF740-B36E-4129-91DA-9FC28DF93D72}"/>
            </a:ext>
          </a:extLst>
        </xdr:cNvPr>
        <xdr:cNvSpPr/>
      </xdr:nvSpPr>
      <xdr:spPr>
        <a:xfrm>
          <a:off x="9172575" y="1885950"/>
          <a:ext cx="1962150" cy="7905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76200</xdr:colOff>
      <xdr:row>3</xdr:row>
      <xdr:rowOff>361949</xdr:rowOff>
    </xdr:to>
    <xdr:sp macro="[0]!ImprimirP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B59B45D-6C85-451D-BD51-7281271C4299}"/>
            </a:ext>
          </a:extLst>
        </xdr:cNvPr>
        <xdr:cNvSpPr/>
      </xdr:nvSpPr>
      <xdr:spPr>
        <a:xfrm>
          <a:off x="10325100" y="923925"/>
          <a:ext cx="2009775" cy="828674"/>
        </a:xfrm>
        <a:prstGeom prst="roundRect">
          <a:avLst>
            <a:gd name="adj" fmla="val 18502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Imprimir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10</xdr:col>
      <xdr:colOff>28575</xdr:colOff>
      <xdr:row>5</xdr:row>
      <xdr:rowOff>323850</xdr:rowOff>
    </xdr:to>
    <xdr:sp macro="[0]!LimparP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16393A-DAB6-4674-BAD6-0CC712493D66}"/>
            </a:ext>
          </a:extLst>
        </xdr:cNvPr>
        <xdr:cNvSpPr/>
      </xdr:nvSpPr>
      <xdr:spPr>
        <a:xfrm>
          <a:off x="10325100" y="1857375"/>
          <a:ext cx="1962150" cy="7905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76200</xdr:colOff>
      <xdr:row>3</xdr:row>
      <xdr:rowOff>304799</xdr:rowOff>
    </xdr:to>
    <xdr:sp macro="[0]!ImprimirPB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D3CD31F-D110-4783-810B-201FFF714ECF}"/>
            </a:ext>
          </a:extLst>
        </xdr:cNvPr>
        <xdr:cNvSpPr/>
      </xdr:nvSpPr>
      <xdr:spPr>
        <a:xfrm>
          <a:off x="10287000" y="923925"/>
          <a:ext cx="2009775" cy="828674"/>
        </a:xfrm>
        <a:prstGeom prst="roundRect">
          <a:avLst>
            <a:gd name="adj" fmla="val 18502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Imprimir</a:t>
          </a:r>
        </a:p>
      </xdr:txBody>
    </xdr:sp>
    <xdr:clientData/>
  </xdr:twoCellAnchor>
  <xdr:twoCellAnchor>
    <xdr:from>
      <xdr:col>8</xdr:col>
      <xdr:colOff>38100</xdr:colOff>
      <xdr:row>3</xdr:row>
      <xdr:rowOff>419100</xdr:rowOff>
    </xdr:from>
    <xdr:to>
      <xdr:col>10</xdr:col>
      <xdr:colOff>66675</xdr:colOff>
      <xdr:row>5</xdr:row>
      <xdr:rowOff>161925</xdr:rowOff>
    </xdr:to>
    <xdr:sp macro="[0]!LimparPB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D81A8A-1BFC-4F39-BC50-F2330EB77ECB}"/>
            </a:ext>
          </a:extLst>
        </xdr:cNvPr>
        <xdr:cNvSpPr/>
      </xdr:nvSpPr>
      <xdr:spPr>
        <a:xfrm>
          <a:off x="10325100" y="1866900"/>
          <a:ext cx="1962150" cy="7905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Limpar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37B00F-60A7-457D-A3DD-9D6BCB164827}" name="Tabela136" displayName="Tabela136" ref="A2:F12" headerRowDxfId="17" dataDxfId="15" totalsRowDxfId="16" headerRowBorderDxfId="50">
  <autoFilter ref="A2:F12" xr:uid="{DB3D508C-1DB7-44BA-A71D-00B2E1145D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3287069-C149-4E6B-99B5-DBF0F3CBCDF4}" name="Cor" totalsRowLabel="Total" dataDxfId="14"/>
    <tableColumn id="2" xr3:uid="{CC44BC32-5E3F-4618-B7B6-AD29F7A25F50}" name="Quantidade" dataDxfId="13"/>
    <tableColumn id="3" xr3:uid="{589313A4-2186-4F11-BD8F-F8EFB0430EAB}" name="Porto Alegre" dataDxfId="12"/>
    <tableColumn id="4" xr3:uid="{6E41F549-096B-458A-9D1C-4700A47A6199}" name="Serigrafia" dataDxfId="20" totalsRowDxfId="49">
      <calculatedColumnFormula>IF(A3&lt;&gt;"",B3-C3,"")</calculatedColumnFormula>
    </tableColumn>
    <tableColumn id="5" xr3:uid="{77631D83-BF44-4694-A343-5E0AFE600442}" name="Tempo produção" dataDxfId="19" totalsRowDxfId="48">
      <calculatedColumnFormula>IF(A3&lt;&gt;"",ROUNDUP(((B3/$J$5)*$J$7)/3600,0)&amp;" horas","")</calculatedColumnFormula>
    </tableColumn>
    <tableColumn id="6" xr3:uid="{B2AFE3AC-CC3F-4FDF-AAFB-D0E133CB7453}" name="Material" totalsRowFunction="count" dataDxfId="18" totalsRowDxfId="47">
      <calculatedColumnFormula>IF(A3&lt;&gt;"",I3&amp;"kg "&amp;$J$9&amp;" + "&amp;ROUNDUP(I3*$J$13,2)&amp;"kg pigmento","")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0830F9-A835-40A3-879B-F651E105669F}" name="Tabela13" displayName="Tabela13" ref="A2:F12" headerRowDxfId="26" dataDxfId="24" totalsRowDxfId="25" headerRowBorderDxfId="46">
  <autoFilter ref="A2:F12" xr:uid="{DB3D508C-1DB7-44BA-A71D-00B2E1145D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691CFD7-3E39-4937-AEFD-DB4BFFA18E0E}" name="Cor" totalsRowLabel="Total" dataDxfId="23" totalsRowDxfId="45"/>
    <tableColumn id="2" xr3:uid="{F8C2CE70-9288-4439-A29C-531BD7DAFEE8}" name="Quantidade" dataDxfId="22" totalsRowDxfId="44"/>
    <tableColumn id="3" xr3:uid="{C52D0B03-DB05-4DE8-80B9-E768354C4761}" name="Porto Alegre" dataDxfId="21"/>
    <tableColumn id="4" xr3:uid="{F04BD629-B260-4A64-9E16-EB57B4ACDC06}" name="Serigrafia" dataDxfId="29" totalsRowDxfId="43">
      <calculatedColumnFormula>IF(A3&lt;&gt;"",B3-C3,"")</calculatedColumnFormula>
    </tableColumn>
    <tableColumn id="5" xr3:uid="{C16EE346-BC0E-4E75-8B90-10B619B81F0E}" name="Tempo produção" dataDxfId="28" totalsRowDxfId="42">
      <calculatedColumnFormula>IF(A3&lt;&gt;"",ROUNDUP(((B3/$I$5)*$I$7)/3600,0)&amp;" horas","")</calculatedColumnFormula>
    </tableColumn>
    <tableColumn id="6" xr3:uid="{83B04D1B-688A-4337-A855-B18CDE68A53B}" name="Material" totalsRowFunction="count" dataDxfId="27" totalsRowDxfId="41">
      <calculatedColumnFormula>IF(A3&lt;&gt;"",H3&amp;"kg "&amp;$I$9&amp;" + "&amp;ROUNDUP(H3*$I$13,2)&amp;"kg pigmento","")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E7BCBC-0A94-4216-8A7C-611D4220DC90}" name="Tabela4" displayName="Tabela4" ref="A2:D12" totalsRowShown="0" headerRowDxfId="9" dataDxfId="8" headerRowBorderDxfId="40">
  <autoFilter ref="A2:D12" xr:uid="{56E7BCBC-0A94-4216-8A7C-611D4220DC90}">
    <filterColumn colId="0" hiddenButton="1"/>
    <filterColumn colId="1" hiddenButton="1"/>
    <filterColumn colId="2" hiddenButton="1"/>
    <filterColumn colId="3" hiddenButton="1"/>
  </autoFilter>
  <tableColumns count="4">
    <tableColumn id="1" xr3:uid="{EEAA38AA-9A4D-4EF2-8A5A-5B1EBF059F35}" name="Cor" dataDxfId="7"/>
    <tableColumn id="2" xr3:uid="{89EE32DC-3231-425A-9703-FBA34F3C385D}" name="Quantidade" dataDxfId="6"/>
    <tableColumn id="3" xr3:uid="{3F616EBF-2B47-43FE-A6BE-1D7CAAC80AF2}" name="Tempo produção" dataDxfId="11">
      <calculatedColumnFormula>IF('Prisma luxo'!$A3&lt;&gt;"",ROUNDUP((('Prisma luxo'!$B3/Peças_inj)*Tempo_ciclo)/3600,0)&amp;" horas","")</calculatedColumnFormula>
    </tableColumn>
    <tableColumn id="4" xr3:uid="{6084083D-D44B-4E0B-903A-4348AB01B7C0}" name="Material" dataDxfId="10">
      <calculatedColumnFormula>IF('Prisma luxo'!$A3&lt;&gt;"",F3&amp;"kg "&amp;Material&amp;" + "&amp;ROUNDUP(F3*Conc_pig,2)&amp;"kg pigmento","")</calculatedColumnFormula>
    </tableColumn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8168A2-00A0-4681-A20C-C40C272E4AEA}" name="Tabela44" displayName="Tabela44" ref="A2:D12" totalsRowShown="0" headerRowDxfId="3" dataDxfId="2" headerRowBorderDxfId="39">
  <autoFilter ref="A2:D12" xr:uid="{56E7BCBC-0A94-4216-8A7C-611D4220DC90}">
    <filterColumn colId="0" hiddenButton="1"/>
    <filterColumn colId="1" hiddenButton="1"/>
    <filterColumn colId="2" hiddenButton="1"/>
    <filterColumn colId="3" hiddenButton="1"/>
  </autoFilter>
  <tableColumns count="4">
    <tableColumn id="1" xr3:uid="{AF6AE0E2-922E-436F-B7A0-7EC1FC6CE9D2}" name="Cor" dataDxfId="1"/>
    <tableColumn id="2" xr3:uid="{77028D46-0E63-4E5C-974F-E7BC8E10C087}" name="Quantidade" dataDxfId="0"/>
    <tableColumn id="3" xr3:uid="{F991C3AD-0579-4102-9135-D2FE4639E8C4}" name="Tempo produção" dataDxfId="5">
      <calculatedColumnFormula>IF('Prisma básico'!$A3&lt;&gt;"",ROUNDUP((('Prisma básico'!$B3/Peças_inj)*Tempo_ciclo)/3600,0)&amp;" horas","")</calculatedColumnFormula>
    </tableColumn>
    <tableColumn id="4" xr3:uid="{9C023B9A-7DD9-4610-B191-2AAC01355ACB}" name="Material" dataDxfId="4">
      <calculatedColumnFormula>IF('Prisma básico'!$A3&lt;&gt;"",F3&amp;"kg "&amp;Material&amp;" + "&amp;ROUNDUP(F3*Conc_pig,2)&amp;"kg pigmento","")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C90F09-AD68-4F08-B063-B6982F2EFE2E}" name="Tabela1" displayName="Tabela1" ref="A1:G13" totalsRowShown="0" headerRowDxfId="30" dataDxfId="31">
  <autoFilter ref="A1:G13" xr:uid="{1EC90F09-AD68-4F08-B063-B6982F2EFE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7FE6751-5057-4A48-AA01-FC37940B7C81}" name="Peça" dataDxfId="38"/>
    <tableColumn id="2" xr3:uid="{C2D70524-93C7-4ACC-9749-0D599DE4D023}" name="Peso por injetado(kg)" dataDxfId="37"/>
    <tableColumn id="3" xr3:uid="{9D9361E7-55C0-4CE4-BD2B-A88BDC5AF14E}" name="Peças por injetado" dataDxfId="36"/>
    <tableColumn id="4" xr3:uid="{81868C9E-A164-41C1-92D8-69DC57C49125}" name="Tempo de ciclo (seg)" dataDxfId="35"/>
    <tableColumn id="5" xr3:uid="{D63ED325-F6D2-4AAE-BE68-92A25B2B76DB}" name="Material" dataDxfId="34"/>
    <tableColumn id="6" xr3:uid="{273E3613-CEE5-4A38-9737-F20887214823}" name="Usa pigmento" dataDxfId="33"/>
    <tableColumn id="7" xr3:uid="{B452D921-3E74-4729-A9AE-DEC287A4EA8C}" name="% de pigmento" dataDxfId="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22D39-9CE6-48D6-AC5F-7EF80F4817BA}">
  <sheetPr codeName="Planilha1"/>
  <dimension ref="A1:AB999"/>
  <sheetViews>
    <sheetView showGridLines="0" showRowColHeaders="0" tabSelected="1" zoomScaleNormal="100" workbookViewId="0">
      <selection activeCell="A3" sqref="A3"/>
    </sheetView>
  </sheetViews>
  <sheetFormatPr defaultColWidth="13.42578125" defaultRowHeight="15" customHeight="1" outlineLevelCol="1" x14ac:dyDescent="0.2"/>
  <cols>
    <col min="1" max="1" width="19.28515625" style="38" customWidth="1"/>
    <col min="2" max="2" width="16" style="38" customWidth="1"/>
    <col min="3" max="3" width="19.28515625" style="38" customWidth="1"/>
    <col min="4" max="4" width="17.7109375" style="38" customWidth="1"/>
    <col min="5" max="5" width="21.85546875" style="38" customWidth="1"/>
    <col min="6" max="6" width="35.7109375" style="38" customWidth="1"/>
    <col min="7" max="7" width="9.140625" style="17" hidden="1" customWidth="1"/>
    <col min="8" max="8" width="9.140625" style="17" customWidth="1"/>
    <col min="9" max="9" width="14.85546875" style="17" hidden="1" customWidth="1" outlineLevel="1"/>
    <col min="10" max="10" width="21" style="17" hidden="1" customWidth="1" outlineLevel="1"/>
    <col min="11" max="11" width="12.140625" style="18" hidden="1" customWidth="1" outlineLevel="1"/>
    <col min="12" max="12" width="14" style="17" customWidth="1" collapsed="1"/>
    <col min="13" max="14" width="14" style="17" customWidth="1"/>
    <col min="15" max="15" width="15" style="19" customWidth="1"/>
    <col min="16" max="16" width="9.140625" style="19" customWidth="1"/>
    <col min="17" max="17" width="9.140625" style="19" customWidth="1" collapsed="1"/>
    <col min="18" max="28" width="9.140625" style="17" customWidth="1" collapsed="1"/>
    <col min="29" max="16384" width="13.42578125" style="17"/>
  </cols>
  <sheetData>
    <row r="1" spans="1:13" ht="39.950000000000003" customHeight="1" x14ac:dyDescent="0.2">
      <c r="A1" s="13" t="s">
        <v>32</v>
      </c>
      <c r="B1" s="14"/>
      <c r="C1" s="14"/>
      <c r="D1" s="14"/>
      <c r="E1" s="14"/>
      <c r="F1" s="15"/>
      <c r="G1" s="16"/>
    </row>
    <row r="2" spans="1:13" ht="33" customHeight="1" x14ac:dyDescent="0.2">
      <c r="A2" s="20" t="s">
        <v>0</v>
      </c>
      <c r="B2" s="21" t="s">
        <v>1</v>
      </c>
      <c r="C2" s="21" t="s">
        <v>2</v>
      </c>
      <c r="D2" s="22" t="s">
        <v>3</v>
      </c>
      <c r="E2" s="21" t="s">
        <v>4</v>
      </c>
      <c r="F2" s="23" t="s">
        <v>5</v>
      </c>
      <c r="I2" s="24" t="s">
        <v>5</v>
      </c>
      <c r="J2" s="24" t="str">
        <f>Constantes!B1</f>
        <v>Peso por injetado(kg)</v>
      </c>
      <c r="K2" s="18" t="s">
        <v>35</v>
      </c>
    </row>
    <row r="3" spans="1:13" ht="41.25" customHeight="1" x14ac:dyDescent="0.2">
      <c r="A3" s="4"/>
      <c r="B3" s="5"/>
      <c r="C3" s="5"/>
      <c r="D3" s="9" t="str">
        <f>IF(A3&lt;&gt;"",B3-C3,"")</f>
        <v/>
      </c>
      <c r="E3" s="10" t="str">
        <f>IF(A3&lt;&gt;"",ROUNDUP(((B3/$J$5)*$J$7)/3600,0)&amp;" horas","")</f>
        <v/>
      </c>
      <c r="F3" s="25" t="str">
        <f>IF(A3&lt;&gt;"",I3&amp;"kg "&amp;$J$9&amp;" + "&amp;ROUNDUP(I3*$J$13,2)&amp;"kg pigmento","")</f>
        <v/>
      </c>
      <c r="I3" s="24">
        <f t="shared" ref="I3:I12" si="0">((B3/$J$5)*$J$3)*1.1</f>
        <v>0</v>
      </c>
      <c r="J3" s="24">
        <f>Constantes!B2</f>
        <v>3.1E-2</v>
      </c>
      <c r="K3" s="19">
        <f>ROUNDUP((Tabela136[[#This Row],[Quantidade]]*$J$7)/3600,0)</f>
        <v>0</v>
      </c>
    </row>
    <row r="4" spans="1:13" ht="41.25" customHeight="1" x14ac:dyDescent="0.2">
      <c r="A4" s="6"/>
      <c r="B4" s="11"/>
      <c r="C4" s="11"/>
      <c r="D4" s="26" t="str">
        <f>IF(A4&lt;&gt;"",B4-C4,"")</f>
        <v/>
      </c>
      <c r="E4" s="27" t="str">
        <f>IF(A4&lt;&gt;"",ROUNDUP(((B4/$J$5)*$J$7)/3600,0)&amp;" horas","")</f>
        <v/>
      </c>
      <c r="F4" s="28" t="str">
        <f>IF(A4&lt;&gt;"",I4&amp;"kg "&amp;$J$9&amp;" + "&amp;ROUNDUP(I4*$J$13,2)&amp;"kg pigmento","")</f>
        <v/>
      </c>
      <c r="I4" s="24">
        <f t="shared" si="0"/>
        <v>0</v>
      </c>
      <c r="J4" s="24" t="str">
        <f>Constantes!C1</f>
        <v>Peças por injetado</v>
      </c>
      <c r="K4" s="19">
        <f>ROUNDUP((Tabela136[[#This Row],[Quantidade]]*$J$7)/3600,0)</f>
        <v>0</v>
      </c>
      <c r="L4" s="24"/>
      <c r="M4" s="29"/>
    </row>
    <row r="5" spans="1:13" ht="41.25" customHeight="1" x14ac:dyDescent="0.2">
      <c r="A5" s="6"/>
      <c r="B5" s="11"/>
      <c r="C5" s="11"/>
      <c r="D5" s="26" t="str">
        <f>IF(A5&lt;&gt;"",B5-C5,"")</f>
        <v/>
      </c>
      <c r="E5" s="27" t="str">
        <f>IF(A5&lt;&gt;"",ROUNDUP(((B5/$J$5)*$J$7)/3600,0)&amp;" horas","")</f>
        <v/>
      </c>
      <c r="F5" s="28" t="str">
        <f>IF(A5&lt;&gt;"",I5&amp;"kg "&amp;$J$9&amp;" + "&amp;ROUNDUP(I5*$J$13,2)&amp;"kg pigmento","")</f>
        <v/>
      </c>
      <c r="I5" s="24">
        <f t="shared" si="0"/>
        <v>0</v>
      </c>
      <c r="J5" s="24">
        <f>Constantes!C2</f>
        <v>1</v>
      </c>
      <c r="K5" s="19">
        <f>ROUNDUP((Tabela136[[#This Row],[Quantidade]]*$J$7)/3600,0)</f>
        <v>0</v>
      </c>
      <c r="L5" s="24"/>
      <c r="M5" s="29"/>
    </row>
    <row r="6" spans="1:13" ht="41.25" customHeight="1" x14ac:dyDescent="0.2">
      <c r="A6" s="6"/>
      <c r="B6" s="11"/>
      <c r="C6" s="11"/>
      <c r="D6" s="26" t="str">
        <f>IF(A6&lt;&gt;"",B6-C6,"")</f>
        <v/>
      </c>
      <c r="E6" s="27" t="str">
        <f>IF(A6&lt;&gt;"",ROUNDUP(((B6/$J$5)*$J$7)/3600,0)&amp;" horas","")</f>
        <v/>
      </c>
      <c r="F6" s="28" t="str">
        <f>IF(A6&lt;&gt;"",I6&amp;"kg "&amp;$J$9&amp;" + "&amp;ROUNDUP(I6*$J$13,2)&amp;"kg pigmento","")</f>
        <v/>
      </c>
      <c r="I6" s="24">
        <f t="shared" si="0"/>
        <v>0</v>
      </c>
      <c r="J6" s="24" t="str">
        <f>Constantes!D1</f>
        <v>Tempo de ciclo (seg)</v>
      </c>
      <c r="K6" s="19">
        <f>ROUNDUP((Tabela136[[#This Row],[Quantidade]]*$J$7)/3600,0)</f>
        <v>0</v>
      </c>
      <c r="L6" s="24"/>
      <c r="M6" s="29"/>
    </row>
    <row r="7" spans="1:13" ht="41.25" customHeight="1" x14ac:dyDescent="0.2">
      <c r="A7" s="6"/>
      <c r="B7" s="11"/>
      <c r="C7" s="11"/>
      <c r="D7" s="26" t="str">
        <f t="shared" ref="D7:D15" si="1">IF(A7&lt;&gt;"",B7-C7,"")</f>
        <v/>
      </c>
      <c r="E7" s="27" t="str">
        <f t="shared" ref="E7:E15" si="2">IF(A7&lt;&gt;"",ROUNDUP(((B7/$J$5)*$J$7)/3600,0)&amp;" horas","")</f>
        <v/>
      </c>
      <c r="F7" s="28" t="str">
        <f t="shared" ref="F7:F15" si="3">IF(A7&lt;&gt;"",I7&amp;"kg "&amp;$J$9&amp;" + "&amp;ROUNDUP(I7*$J$13,2)&amp;"kg pigmento","")</f>
        <v/>
      </c>
      <c r="I7" s="24">
        <f t="shared" si="0"/>
        <v>0</v>
      </c>
      <c r="J7" s="24">
        <f>Constantes!D2</f>
        <v>14</v>
      </c>
      <c r="K7" s="19">
        <f>ROUNDUP((Tabela136[[#This Row],[Quantidade]]*$J$7)/3600,0)</f>
        <v>0</v>
      </c>
      <c r="L7" s="24"/>
      <c r="M7" s="29"/>
    </row>
    <row r="8" spans="1:13" ht="41.25" customHeight="1" x14ac:dyDescent="0.2">
      <c r="A8" s="6"/>
      <c r="B8" s="11"/>
      <c r="C8" s="11"/>
      <c r="D8" s="26" t="str">
        <f t="shared" si="1"/>
        <v/>
      </c>
      <c r="E8" s="27" t="str">
        <f t="shared" si="2"/>
        <v/>
      </c>
      <c r="F8" s="28" t="str">
        <f t="shared" si="3"/>
        <v/>
      </c>
      <c r="I8" s="24">
        <f t="shared" si="0"/>
        <v>0</v>
      </c>
      <c r="J8" s="24" t="str">
        <f>Constantes!E1</f>
        <v>Material</v>
      </c>
      <c r="K8" s="19">
        <f>ROUNDUP((Tabela136[[#This Row],[Quantidade]]*$J$7)/3600,0)</f>
        <v>0</v>
      </c>
      <c r="L8" s="24"/>
      <c r="M8" s="29"/>
    </row>
    <row r="9" spans="1:13" ht="41.25" customHeight="1" x14ac:dyDescent="0.2">
      <c r="A9" s="6"/>
      <c r="B9" s="11"/>
      <c r="C9" s="11"/>
      <c r="D9" s="26" t="str">
        <f t="shared" si="1"/>
        <v/>
      </c>
      <c r="E9" s="27" t="str">
        <f t="shared" si="2"/>
        <v/>
      </c>
      <c r="F9" s="28" t="str">
        <f t="shared" si="3"/>
        <v/>
      </c>
      <c r="I9" s="24">
        <f t="shared" si="0"/>
        <v>0</v>
      </c>
      <c r="J9" s="24" t="str">
        <f>Constantes!E2</f>
        <v>PP</v>
      </c>
      <c r="K9" s="19">
        <f>ROUNDUP((Tabela136[[#This Row],[Quantidade]]*$J$7)/3600,0)</f>
        <v>0</v>
      </c>
      <c r="L9" s="24"/>
      <c r="M9" s="29"/>
    </row>
    <row r="10" spans="1:13" ht="41.25" customHeight="1" x14ac:dyDescent="0.2">
      <c r="A10" s="6"/>
      <c r="B10" s="11"/>
      <c r="C10" s="11"/>
      <c r="D10" s="26" t="str">
        <f t="shared" si="1"/>
        <v/>
      </c>
      <c r="E10" s="27" t="str">
        <f t="shared" si="2"/>
        <v/>
      </c>
      <c r="F10" s="28" t="str">
        <f t="shared" si="3"/>
        <v/>
      </c>
      <c r="I10" s="24">
        <f t="shared" si="0"/>
        <v>0</v>
      </c>
      <c r="J10" s="24" t="str">
        <f>Constantes!F1</f>
        <v>Usa pigmento</v>
      </c>
      <c r="K10" s="19">
        <f>ROUNDUP((Tabela136[[#This Row],[Quantidade]]*$J$7)/3600,0)</f>
        <v>0</v>
      </c>
      <c r="L10" s="24"/>
      <c r="M10" s="29"/>
    </row>
    <row r="11" spans="1:13" ht="41.25" customHeight="1" x14ac:dyDescent="0.2">
      <c r="A11" s="6"/>
      <c r="B11" s="11"/>
      <c r="C11" s="11"/>
      <c r="D11" s="26" t="str">
        <f t="shared" si="1"/>
        <v/>
      </c>
      <c r="E11" s="27" t="str">
        <f t="shared" si="2"/>
        <v/>
      </c>
      <c r="F11" s="28" t="str">
        <f t="shared" si="3"/>
        <v/>
      </c>
      <c r="I11" s="24">
        <f t="shared" si="0"/>
        <v>0</v>
      </c>
      <c r="J11" s="24">
        <f>Constantes!F2</f>
        <v>1</v>
      </c>
      <c r="K11" s="19">
        <f>ROUNDUP((Tabela136[[#This Row],[Quantidade]]*$J$7)/3600,0)</f>
        <v>0</v>
      </c>
      <c r="L11" s="24"/>
      <c r="M11" s="29"/>
    </row>
    <row r="12" spans="1:13" ht="41.25" customHeight="1" x14ac:dyDescent="0.2">
      <c r="A12" s="12"/>
      <c r="B12" s="11"/>
      <c r="C12" s="11"/>
      <c r="D12" s="30" t="str">
        <f t="shared" si="1"/>
        <v/>
      </c>
      <c r="E12" s="31" t="str">
        <f t="shared" si="2"/>
        <v/>
      </c>
      <c r="F12" s="32" t="str">
        <f t="shared" si="3"/>
        <v/>
      </c>
      <c r="I12" s="24">
        <f t="shared" si="0"/>
        <v>0</v>
      </c>
      <c r="J12" s="24" t="str">
        <f>Constantes!G1</f>
        <v>% de pigmento</v>
      </c>
      <c r="K12" s="19">
        <f>ROUNDUP((Tabela136[[#This Row],[Quantidade]]*$J$7)/3600,0)</f>
        <v>0</v>
      </c>
      <c r="L12" s="24"/>
      <c r="M12" s="29"/>
    </row>
    <row r="13" spans="1:13" ht="38.25" customHeight="1" x14ac:dyDescent="0.2">
      <c r="A13" s="33" t="s">
        <v>31</v>
      </c>
      <c r="B13" s="34" t="str">
        <f>"PEÇAS: "&amp;SUM(B3:B12)</f>
        <v>PEÇAS: 0</v>
      </c>
      <c r="C13" s="35"/>
      <c r="D13" s="34" t="str">
        <f>"TEMPO: "&amp;IF(SUM($K$3:$K$12) &lt; 10,SUM($K$3:$K$12)&amp;" HORAS",ROUNDDOWN(SUM($K$3:$K$12)/10,0)&amp;" DIA(S) E "&amp;MOD(SUM($K$3:$K$12),10) &amp;" HORAS")</f>
        <v>TEMPO: 0 HORAS</v>
      </c>
      <c r="E13" s="36" t="str">
        <f>"TEMPO: "&amp;IF(SUM(TempoProd) &lt; 10,SUM(TempoProd)&amp;" HORAS",ROUNDDOWN(SUM(TempoProd)/10,0)&amp;" DIA(S) E "&amp;MOD(SUM(TempoProd),10) &amp;" HORAS")</f>
        <v>TEMPO: 0 HORAS</v>
      </c>
      <c r="F13" s="37" t="str">
        <f>"MATERIAL: "&amp;SUM(I3:I12)&amp;"kg de "&amp;Material</f>
        <v>MATERIAL: 0kg de PS</v>
      </c>
      <c r="I13" s="24"/>
      <c r="J13" s="29">
        <f>Constantes!G2</f>
        <v>1.7999999999999999E-2</v>
      </c>
      <c r="K13" s="19"/>
      <c r="L13" s="24"/>
      <c r="M13" s="29"/>
    </row>
    <row r="14" spans="1:13" ht="36.75" customHeight="1" x14ac:dyDescent="0.2">
      <c r="I14" s="24"/>
      <c r="J14" s="24"/>
      <c r="K14" s="39"/>
      <c r="L14" s="24"/>
      <c r="M14" s="29"/>
    </row>
    <row r="15" spans="1:13" ht="33" customHeight="1" x14ac:dyDescent="0.2">
      <c r="A15" s="40"/>
      <c r="B15" s="41"/>
      <c r="C15" s="42"/>
      <c r="D15" s="43" t="str">
        <f t="shared" si="1"/>
        <v/>
      </c>
      <c r="E15" s="40" t="str">
        <f t="shared" si="2"/>
        <v/>
      </c>
      <c r="F15" s="40" t="str">
        <f t="shared" si="3"/>
        <v/>
      </c>
      <c r="I15" s="24"/>
      <c r="J15" s="24"/>
      <c r="K15" s="39"/>
      <c r="L15" s="24"/>
      <c r="M15" s="29"/>
    </row>
    <row r="16" spans="1:13" ht="33" customHeight="1" x14ac:dyDescent="0.2">
      <c r="I16" s="24"/>
      <c r="J16" s="24"/>
      <c r="K16" s="39"/>
      <c r="L16" s="24"/>
      <c r="M16" s="29"/>
    </row>
    <row r="17" spans="1:15" ht="26.25" customHeight="1" x14ac:dyDescent="0.2">
      <c r="C17" s="42"/>
      <c r="D17" s="43"/>
      <c r="E17" s="40"/>
      <c r="F17" s="40"/>
      <c r="I17" s="24"/>
      <c r="J17" s="24"/>
      <c r="K17" s="39"/>
      <c r="L17" s="24"/>
      <c r="M17" s="29"/>
    </row>
    <row r="18" spans="1:15" ht="26.25" customHeight="1" x14ac:dyDescent="0.2">
      <c r="A18" s="44"/>
      <c r="B18" s="45"/>
      <c r="C18" s="46"/>
      <c r="D18" s="47"/>
      <c r="E18" s="47"/>
      <c r="F18" s="40"/>
      <c r="I18" s="24"/>
      <c r="J18" s="24"/>
      <c r="K18" s="39"/>
      <c r="L18" s="24"/>
      <c r="M18" s="29"/>
    </row>
    <row r="19" spans="1:15" ht="26.25" customHeight="1" x14ac:dyDescent="0.2">
      <c r="A19" s="44"/>
      <c r="B19" s="45"/>
      <c r="C19" s="46"/>
      <c r="D19" s="47"/>
      <c r="E19" s="47"/>
      <c r="F19" s="40"/>
      <c r="I19" s="24"/>
      <c r="J19" s="24"/>
      <c r="K19" s="39"/>
      <c r="L19" s="24"/>
      <c r="M19" s="29"/>
    </row>
    <row r="20" spans="1:15" ht="26.25" customHeight="1" x14ac:dyDescent="0.2">
      <c r="A20" s="44"/>
      <c r="B20" s="45"/>
      <c r="C20" s="46"/>
      <c r="D20" s="45"/>
      <c r="E20" s="40"/>
      <c r="F20" s="40"/>
      <c r="I20" s="24"/>
      <c r="J20" s="24"/>
      <c r="K20" s="39"/>
      <c r="L20" s="24"/>
      <c r="M20" s="24"/>
      <c r="N20" s="24"/>
      <c r="O20" s="48"/>
    </row>
    <row r="21" spans="1:15" ht="26.25" customHeight="1" x14ac:dyDescent="0.2">
      <c r="A21" s="44"/>
      <c r="B21" s="45"/>
      <c r="C21" s="46"/>
      <c r="D21" s="45"/>
      <c r="E21" s="40"/>
      <c r="F21" s="40"/>
      <c r="I21" s="24"/>
      <c r="J21" s="24"/>
      <c r="K21" s="39"/>
      <c r="L21" s="24"/>
      <c r="M21" s="24"/>
      <c r="N21" s="24"/>
      <c r="O21" s="48"/>
    </row>
    <row r="22" spans="1:15" ht="26.25" customHeight="1" x14ac:dyDescent="0.2">
      <c r="A22" s="44"/>
      <c r="B22" s="45"/>
      <c r="C22" s="46"/>
      <c r="D22" s="45"/>
      <c r="E22" s="40"/>
      <c r="F22" s="40"/>
      <c r="I22" s="24"/>
      <c r="J22" s="24"/>
      <c r="K22" s="39"/>
      <c r="L22" s="24"/>
      <c r="M22" s="24"/>
      <c r="N22" s="24"/>
      <c r="O22" s="48"/>
    </row>
    <row r="23" spans="1:15" ht="15.75" customHeight="1" x14ac:dyDescent="0.2">
      <c r="A23" s="49"/>
      <c r="B23" s="49"/>
      <c r="C23" s="46"/>
      <c r="D23" s="45"/>
      <c r="E23" s="45"/>
      <c r="F23" s="45"/>
    </row>
    <row r="24" spans="1:15" ht="15.75" customHeight="1" x14ac:dyDescent="0.2">
      <c r="A24" s="49"/>
      <c r="B24" s="49"/>
      <c r="C24" s="46"/>
      <c r="D24" s="45"/>
      <c r="E24" s="45"/>
      <c r="F24" s="45"/>
    </row>
    <row r="25" spans="1:15" ht="15.75" customHeight="1" x14ac:dyDescent="0.2">
      <c r="A25" s="49"/>
      <c r="B25" s="49"/>
      <c r="C25" s="46"/>
      <c r="D25" s="45"/>
      <c r="E25" s="45"/>
      <c r="F25" s="45"/>
    </row>
    <row r="26" spans="1:15" ht="15.75" customHeight="1" x14ac:dyDescent="0.2">
      <c r="A26" s="49"/>
      <c r="B26" s="49"/>
      <c r="C26" s="46"/>
      <c r="D26" s="45"/>
      <c r="E26" s="45"/>
      <c r="F26" s="45"/>
    </row>
    <row r="27" spans="1:15" ht="15.75" customHeight="1" x14ac:dyDescent="0.2">
      <c r="A27" s="49"/>
      <c r="B27" s="49"/>
      <c r="C27" s="46"/>
      <c r="D27" s="45"/>
      <c r="E27" s="45"/>
      <c r="F27" s="45"/>
    </row>
    <row r="28" spans="1:15" ht="15.75" customHeight="1" x14ac:dyDescent="0.2">
      <c r="A28" s="49"/>
      <c r="B28" s="49"/>
      <c r="C28" s="46"/>
      <c r="D28" s="45"/>
      <c r="E28" s="45"/>
      <c r="F28" s="45"/>
    </row>
    <row r="29" spans="1:15" ht="15.75" customHeight="1" x14ac:dyDescent="0.2">
      <c r="A29" s="49"/>
      <c r="B29" s="49"/>
      <c r="C29" s="46"/>
      <c r="D29" s="45"/>
      <c r="E29" s="45"/>
      <c r="F29" s="45"/>
    </row>
    <row r="30" spans="1:15" ht="15.75" customHeight="1" x14ac:dyDescent="0.2">
      <c r="C30" s="46"/>
      <c r="D30" s="45"/>
      <c r="E30" s="45"/>
      <c r="F30" s="45"/>
    </row>
    <row r="31" spans="1:15" ht="15.75" customHeight="1" x14ac:dyDescent="0.2">
      <c r="C31" s="46"/>
      <c r="D31" s="45"/>
      <c r="E31" s="45"/>
      <c r="F31" s="45"/>
    </row>
    <row r="32" spans="1:15" ht="15.75" customHeight="1" x14ac:dyDescent="0.2">
      <c r="C32" s="46"/>
      <c r="D32" s="45"/>
      <c r="E32" s="45"/>
      <c r="F32" s="45"/>
    </row>
    <row r="33" spans="3:6" ht="15.75" customHeight="1" x14ac:dyDescent="0.2">
      <c r="C33" s="46"/>
      <c r="D33" s="45"/>
      <c r="E33" s="45"/>
      <c r="F33" s="45"/>
    </row>
    <row r="34" spans="3:6" ht="15.75" customHeight="1" x14ac:dyDescent="0.2">
      <c r="C34" s="46"/>
      <c r="D34" s="45"/>
      <c r="E34" s="45"/>
      <c r="F34" s="45"/>
    </row>
    <row r="35" spans="3:6" ht="15.75" customHeight="1" x14ac:dyDescent="0.2">
      <c r="C35" s="46"/>
      <c r="D35" s="45"/>
      <c r="E35" s="45"/>
      <c r="F35" s="45"/>
    </row>
    <row r="36" spans="3:6" ht="15.75" customHeight="1" x14ac:dyDescent="0.2">
      <c r="C36" s="46"/>
      <c r="D36" s="45"/>
      <c r="E36" s="45"/>
      <c r="F36" s="45"/>
    </row>
    <row r="37" spans="3:6" ht="15.75" customHeight="1" x14ac:dyDescent="0.2">
      <c r="C37" s="46"/>
      <c r="D37" s="45"/>
      <c r="E37" s="45"/>
      <c r="F37" s="45"/>
    </row>
    <row r="38" spans="3:6" ht="15.75" customHeight="1" x14ac:dyDescent="0.2">
      <c r="C38" s="46"/>
      <c r="D38" s="45"/>
      <c r="E38" s="45"/>
      <c r="F38" s="45"/>
    </row>
    <row r="39" spans="3:6" ht="15.75" customHeight="1" x14ac:dyDescent="0.2">
      <c r="C39" s="46"/>
      <c r="D39" s="45"/>
      <c r="E39" s="45"/>
      <c r="F39" s="45"/>
    </row>
    <row r="40" spans="3:6" ht="15.75" customHeight="1" x14ac:dyDescent="0.2">
      <c r="C40" s="46"/>
      <c r="D40" s="45"/>
      <c r="E40" s="45"/>
      <c r="F40" s="45"/>
    </row>
    <row r="41" spans="3:6" ht="15.75" customHeight="1" x14ac:dyDescent="0.2">
      <c r="C41" s="46"/>
      <c r="D41" s="45"/>
      <c r="E41" s="45"/>
      <c r="F41" s="45"/>
    </row>
    <row r="42" spans="3:6" ht="15.75" customHeight="1" x14ac:dyDescent="0.2">
      <c r="C42" s="46"/>
      <c r="D42" s="45"/>
      <c r="E42" s="45"/>
      <c r="F42" s="45"/>
    </row>
    <row r="43" spans="3:6" ht="15.75" customHeight="1" x14ac:dyDescent="0.2">
      <c r="C43" s="46"/>
      <c r="D43" s="45"/>
      <c r="E43" s="45"/>
      <c r="F43" s="45"/>
    </row>
    <row r="44" spans="3:6" ht="15.75" customHeight="1" x14ac:dyDescent="0.2">
      <c r="C44" s="46"/>
      <c r="D44" s="45"/>
      <c r="E44" s="45"/>
      <c r="F44" s="45"/>
    </row>
    <row r="45" spans="3:6" ht="15.75" customHeight="1" x14ac:dyDescent="0.2">
      <c r="C45" s="46"/>
      <c r="D45" s="45"/>
      <c r="E45" s="45"/>
      <c r="F45" s="45"/>
    </row>
    <row r="46" spans="3:6" ht="15.75" customHeight="1" x14ac:dyDescent="0.2">
      <c r="C46" s="46"/>
      <c r="D46" s="45"/>
      <c r="E46" s="45"/>
      <c r="F46" s="45"/>
    </row>
    <row r="47" spans="3:6" ht="15.75" customHeight="1" x14ac:dyDescent="0.2">
      <c r="C47" s="46"/>
      <c r="D47" s="45"/>
      <c r="E47" s="45"/>
      <c r="F47" s="45"/>
    </row>
    <row r="48" spans="3:6" ht="15.75" customHeight="1" x14ac:dyDescent="0.2">
      <c r="C48" s="46"/>
      <c r="D48" s="45"/>
      <c r="E48" s="45"/>
      <c r="F48" s="45"/>
    </row>
    <row r="49" spans="3:6" ht="15.75" customHeight="1" x14ac:dyDescent="0.2">
      <c r="C49" s="46"/>
      <c r="D49" s="45"/>
      <c r="E49" s="45"/>
      <c r="F49" s="45"/>
    </row>
    <row r="50" spans="3:6" ht="15.75" customHeight="1" x14ac:dyDescent="0.2">
      <c r="C50" s="46"/>
      <c r="D50" s="45"/>
      <c r="E50" s="45"/>
      <c r="F50" s="45"/>
    </row>
    <row r="51" spans="3:6" ht="15.75" customHeight="1" x14ac:dyDescent="0.2">
      <c r="C51" s="46"/>
      <c r="D51" s="45"/>
      <c r="E51" s="45"/>
      <c r="F51" s="45"/>
    </row>
    <row r="52" spans="3:6" ht="15.75" customHeight="1" x14ac:dyDescent="0.2">
      <c r="C52" s="46"/>
      <c r="D52" s="45"/>
      <c r="E52" s="45"/>
      <c r="F52" s="45"/>
    </row>
    <row r="53" spans="3:6" ht="15.75" customHeight="1" x14ac:dyDescent="0.2">
      <c r="C53" s="46"/>
      <c r="D53" s="45"/>
      <c r="E53" s="45"/>
      <c r="F53" s="45"/>
    </row>
    <row r="54" spans="3:6" ht="15.75" customHeight="1" x14ac:dyDescent="0.2">
      <c r="C54" s="46"/>
      <c r="D54" s="45"/>
      <c r="E54" s="45"/>
      <c r="F54" s="45"/>
    </row>
    <row r="55" spans="3:6" ht="15.75" customHeight="1" x14ac:dyDescent="0.2">
      <c r="C55" s="46"/>
      <c r="D55" s="45"/>
      <c r="E55" s="45"/>
      <c r="F55" s="45"/>
    </row>
    <row r="56" spans="3:6" ht="15.75" customHeight="1" x14ac:dyDescent="0.2">
      <c r="C56" s="45"/>
      <c r="D56" s="45"/>
      <c r="E56" s="45"/>
      <c r="F56" s="45"/>
    </row>
    <row r="57" spans="3:6" ht="15.75" customHeight="1" x14ac:dyDescent="0.2">
      <c r="C57" s="45"/>
      <c r="D57" s="45"/>
      <c r="E57" s="45"/>
      <c r="F57" s="45"/>
    </row>
    <row r="58" spans="3:6" ht="15.75" customHeight="1" x14ac:dyDescent="0.2">
      <c r="C58" s="45"/>
      <c r="D58" s="45"/>
      <c r="E58" s="45"/>
      <c r="F58" s="45"/>
    </row>
    <row r="59" spans="3:6" ht="15.75" customHeight="1" x14ac:dyDescent="0.2">
      <c r="C59" s="45"/>
      <c r="D59" s="45"/>
      <c r="E59" s="45"/>
      <c r="F59" s="45"/>
    </row>
    <row r="60" spans="3:6" ht="15.75" customHeight="1" x14ac:dyDescent="0.2">
      <c r="C60" s="45"/>
      <c r="D60" s="45"/>
      <c r="E60" s="45"/>
      <c r="F60" s="45"/>
    </row>
    <row r="61" spans="3:6" ht="15.75" customHeight="1" x14ac:dyDescent="0.2">
      <c r="C61" s="45"/>
      <c r="D61" s="45"/>
      <c r="E61" s="45"/>
      <c r="F61" s="45"/>
    </row>
    <row r="62" spans="3:6" ht="15.75" customHeight="1" x14ac:dyDescent="0.2">
      <c r="C62" s="45"/>
      <c r="D62" s="45"/>
      <c r="E62" s="45"/>
      <c r="F62" s="45"/>
    </row>
    <row r="63" spans="3:6" ht="15.75" customHeight="1" x14ac:dyDescent="0.2">
      <c r="C63" s="45"/>
      <c r="D63" s="45"/>
      <c r="E63" s="45"/>
      <c r="F63" s="45"/>
    </row>
    <row r="64" spans="3:6" ht="15.75" customHeight="1" x14ac:dyDescent="0.2">
      <c r="C64" s="45"/>
      <c r="D64" s="45"/>
      <c r="E64" s="45"/>
      <c r="F64" s="45"/>
    </row>
    <row r="65" spans="3:6" ht="15.75" customHeight="1" x14ac:dyDescent="0.2">
      <c r="C65" s="45"/>
      <c r="D65" s="45"/>
      <c r="E65" s="45"/>
      <c r="F65" s="45"/>
    </row>
    <row r="66" spans="3:6" ht="15.75" customHeight="1" x14ac:dyDescent="0.2">
      <c r="C66" s="45"/>
      <c r="D66" s="45"/>
      <c r="E66" s="45"/>
      <c r="F66" s="45"/>
    </row>
    <row r="67" spans="3:6" ht="15.75" customHeight="1" x14ac:dyDescent="0.2">
      <c r="C67" s="45"/>
      <c r="D67" s="45"/>
      <c r="E67" s="45"/>
      <c r="F67" s="45"/>
    </row>
    <row r="68" spans="3:6" ht="15.75" customHeight="1" x14ac:dyDescent="0.2">
      <c r="C68" s="45"/>
      <c r="D68" s="45"/>
      <c r="E68" s="45"/>
      <c r="F68" s="45"/>
    </row>
    <row r="69" spans="3:6" ht="15.75" customHeight="1" x14ac:dyDescent="0.2">
      <c r="C69" s="45"/>
      <c r="D69" s="45"/>
      <c r="E69" s="45"/>
      <c r="F69" s="45"/>
    </row>
    <row r="70" spans="3:6" ht="15.75" customHeight="1" x14ac:dyDescent="0.2">
      <c r="C70" s="45"/>
      <c r="D70" s="45"/>
      <c r="E70" s="45"/>
      <c r="F70" s="45"/>
    </row>
    <row r="71" spans="3:6" ht="15.75" customHeight="1" x14ac:dyDescent="0.2">
      <c r="C71" s="45"/>
      <c r="D71" s="45"/>
      <c r="E71" s="45"/>
      <c r="F71" s="45"/>
    </row>
    <row r="72" spans="3:6" ht="15.75" customHeight="1" x14ac:dyDescent="0.2">
      <c r="C72" s="45"/>
      <c r="D72" s="45"/>
      <c r="E72" s="45"/>
      <c r="F72" s="45"/>
    </row>
    <row r="73" spans="3:6" ht="15.75" customHeight="1" x14ac:dyDescent="0.2">
      <c r="C73" s="45"/>
      <c r="D73" s="45"/>
      <c r="E73" s="45"/>
      <c r="F73" s="45"/>
    </row>
    <row r="74" spans="3:6" ht="15.75" customHeight="1" x14ac:dyDescent="0.2">
      <c r="C74" s="45"/>
      <c r="D74" s="45"/>
      <c r="E74" s="45"/>
      <c r="F74" s="45"/>
    </row>
    <row r="75" spans="3:6" ht="15.75" customHeight="1" x14ac:dyDescent="0.2">
      <c r="C75" s="45"/>
      <c r="D75" s="45"/>
      <c r="E75" s="45"/>
      <c r="F75" s="45"/>
    </row>
    <row r="76" spans="3:6" ht="15.75" customHeight="1" x14ac:dyDescent="0.2">
      <c r="C76" s="45"/>
      <c r="D76" s="45"/>
      <c r="E76" s="45"/>
      <c r="F76" s="45"/>
    </row>
    <row r="77" spans="3:6" ht="15.75" customHeight="1" x14ac:dyDescent="0.2">
      <c r="C77" s="45"/>
      <c r="D77" s="45"/>
      <c r="E77" s="45"/>
      <c r="F77" s="45"/>
    </row>
    <row r="78" spans="3:6" ht="15.75" customHeight="1" x14ac:dyDescent="0.2">
      <c r="C78" s="45"/>
      <c r="D78" s="45"/>
      <c r="E78" s="45"/>
      <c r="F78" s="45"/>
    </row>
    <row r="79" spans="3:6" ht="15.75" customHeight="1" x14ac:dyDescent="0.2">
      <c r="C79" s="45"/>
      <c r="D79" s="45"/>
      <c r="E79" s="45"/>
      <c r="F79" s="45"/>
    </row>
    <row r="80" spans="3:6" ht="15.75" customHeight="1" x14ac:dyDescent="0.2">
      <c r="C80" s="45"/>
      <c r="D80" s="45"/>
      <c r="E80" s="45"/>
      <c r="F80" s="45"/>
    </row>
    <row r="81" spans="3:6" ht="15.75" customHeight="1" x14ac:dyDescent="0.2">
      <c r="C81" s="45"/>
      <c r="D81" s="45"/>
      <c r="E81" s="45"/>
      <c r="F81" s="45"/>
    </row>
    <row r="82" spans="3:6" ht="15.75" customHeight="1" x14ac:dyDescent="0.2">
      <c r="C82" s="45"/>
      <c r="D82" s="45"/>
      <c r="E82" s="45"/>
      <c r="F82" s="45"/>
    </row>
    <row r="83" spans="3:6" ht="15.75" customHeight="1" x14ac:dyDescent="0.2">
      <c r="C83" s="45"/>
      <c r="D83" s="45"/>
      <c r="E83" s="45"/>
      <c r="F83" s="45"/>
    </row>
    <row r="84" spans="3:6" ht="15.75" customHeight="1" x14ac:dyDescent="0.2">
      <c r="C84" s="45"/>
      <c r="D84" s="45"/>
      <c r="E84" s="45"/>
      <c r="F84" s="45"/>
    </row>
    <row r="85" spans="3:6" ht="15.75" customHeight="1" x14ac:dyDescent="0.2">
      <c r="C85" s="45"/>
      <c r="D85" s="45"/>
      <c r="E85" s="45"/>
      <c r="F85" s="45"/>
    </row>
    <row r="86" spans="3:6" ht="15.75" customHeight="1" x14ac:dyDescent="0.2">
      <c r="C86" s="45"/>
      <c r="D86" s="45"/>
      <c r="E86" s="45"/>
      <c r="F86" s="45"/>
    </row>
    <row r="87" spans="3:6" ht="15.75" customHeight="1" x14ac:dyDescent="0.2">
      <c r="C87" s="45"/>
      <c r="D87" s="45"/>
      <c r="E87" s="45"/>
      <c r="F87" s="45"/>
    </row>
    <row r="88" spans="3:6" ht="15.75" customHeight="1" x14ac:dyDescent="0.2">
      <c r="C88" s="45"/>
      <c r="D88" s="45"/>
      <c r="E88" s="45"/>
      <c r="F88" s="45"/>
    </row>
    <row r="89" spans="3:6" ht="15.75" customHeight="1" x14ac:dyDescent="0.2">
      <c r="C89" s="45"/>
      <c r="D89" s="45"/>
      <c r="E89" s="45"/>
      <c r="F89" s="45"/>
    </row>
    <row r="90" spans="3:6" ht="15.75" customHeight="1" x14ac:dyDescent="0.2">
      <c r="C90" s="45"/>
      <c r="D90" s="45"/>
      <c r="E90" s="45"/>
      <c r="F90" s="45"/>
    </row>
    <row r="91" spans="3:6" ht="15.75" customHeight="1" x14ac:dyDescent="0.2">
      <c r="C91" s="45"/>
      <c r="D91" s="45"/>
      <c r="E91" s="45"/>
      <c r="F91" s="45"/>
    </row>
    <row r="92" spans="3:6" ht="15.75" customHeight="1" x14ac:dyDescent="0.2">
      <c r="C92" s="45"/>
      <c r="D92" s="45"/>
      <c r="E92" s="45"/>
      <c r="F92" s="45"/>
    </row>
    <row r="93" spans="3:6" ht="15.75" customHeight="1" x14ac:dyDescent="0.2">
      <c r="C93" s="45"/>
      <c r="D93" s="45"/>
      <c r="E93" s="45"/>
      <c r="F93" s="45"/>
    </row>
    <row r="94" spans="3:6" ht="15.75" customHeight="1" x14ac:dyDescent="0.2">
      <c r="C94" s="45"/>
      <c r="D94" s="45"/>
      <c r="E94" s="45"/>
      <c r="F94" s="45"/>
    </row>
    <row r="95" spans="3:6" ht="15.75" customHeight="1" x14ac:dyDescent="0.2">
      <c r="C95" s="45"/>
      <c r="D95" s="45"/>
      <c r="E95" s="45"/>
      <c r="F95" s="45"/>
    </row>
    <row r="96" spans="3:6" ht="15.75" customHeight="1" x14ac:dyDescent="0.2">
      <c r="C96" s="45"/>
      <c r="D96" s="45"/>
      <c r="E96" s="45"/>
      <c r="F96" s="45"/>
    </row>
    <row r="97" spans="3:6" ht="15.75" customHeight="1" x14ac:dyDescent="0.2">
      <c r="C97" s="45"/>
      <c r="D97" s="45"/>
      <c r="E97" s="45"/>
      <c r="F97" s="45"/>
    </row>
    <row r="98" spans="3:6" ht="15.75" customHeight="1" x14ac:dyDescent="0.2">
      <c r="C98" s="45"/>
      <c r="D98" s="45"/>
      <c r="E98" s="45"/>
      <c r="F98" s="45"/>
    </row>
    <row r="99" spans="3:6" ht="15.75" customHeight="1" x14ac:dyDescent="0.2">
      <c r="C99" s="45"/>
      <c r="D99" s="45"/>
      <c r="E99" s="45"/>
      <c r="F99" s="45"/>
    </row>
    <row r="100" spans="3:6" ht="15.75" customHeight="1" x14ac:dyDescent="0.2">
      <c r="C100" s="45"/>
      <c r="D100" s="45"/>
      <c r="E100" s="45"/>
      <c r="F100" s="45"/>
    </row>
    <row r="101" spans="3:6" ht="15.75" customHeight="1" x14ac:dyDescent="0.2">
      <c r="C101" s="45"/>
      <c r="D101" s="45"/>
      <c r="E101" s="45"/>
      <c r="F101" s="45"/>
    </row>
    <row r="102" spans="3:6" ht="15.75" customHeight="1" x14ac:dyDescent="0.2">
      <c r="C102" s="45"/>
      <c r="D102" s="45"/>
      <c r="E102" s="45"/>
      <c r="F102" s="45"/>
    </row>
    <row r="103" spans="3:6" ht="15.75" customHeight="1" x14ac:dyDescent="0.2">
      <c r="C103" s="45"/>
      <c r="D103" s="45"/>
      <c r="E103" s="45"/>
      <c r="F103" s="45"/>
    </row>
    <row r="104" spans="3:6" ht="15.75" customHeight="1" x14ac:dyDescent="0.2">
      <c r="C104" s="45"/>
      <c r="D104" s="45"/>
      <c r="E104" s="45"/>
      <c r="F104" s="45"/>
    </row>
    <row r="105" spans="3:6" ht="15.75" customHeight="1" x14ac:dyDescent="0.2">
      <c r="C105" s="45"/>
      <c r="D105" s="45"/>
      <c r="E105" s="45"/>
      <c r="F105" s="45"/>
    </row>
    <row r="106" spans="3:6" ht="15.75" customHeight="1" x14ac:dyDescent="0.2">
      <c r="C106" s="45"/>
      <c r="D106" s="45"/>
      <c r="E106" s="45"/>
      <c r="F106" s="45"/>
    </row>
    <row r="107" spans="3:6" ht="15.75" customHeight="1" x14ac:dyDescent="0.2">
      <c r="C107" s="45"/>
      <c r="D107" s="45"/>
      <c r="E107" s="45"/>
      <c r="F107" s="45"/>
    </row>
    <row r="108" spans="3:6" ht="15.75" customHeight="1" x14ac:dyDescent="0.2">
      <c r="C108" s="45"/>
      <c r="D108" s="45"/>
      <c r="E108" s="45"/>
      <c r="F108" s="45"/>
    </row>
    <row r="109" spans="3:6" ht="15.75" customHeight="1" x14ac:dyDescent="0.2">
      <c r="C109" s="45"/>
      <c r="D109" s="45"/>
      <c r="E109" s="45"/>
      <c r="F109" s="45"/>
    </row>
    <row r="110" spans="3:6" ht="15.75" customHeight="1" x14ac:dyDescent="0.2">
      <c r="C110" s="45"/>
      <c r="D110" s="45"/>
      <c r="E110" s="45"/>
      <c r="F110" s="45"/>
    </row>
    <row r="111" spans="3:6" ht="15.75" customHeight="1" x14ac:dyDescent="0.2">
      <c r="C111" s="45"/>
      <c r="D111" s="45"/>
      <c r="E111" s="45"/>
      <c r="F111" s="45"/>
    </row>
    <row r="112" spans="3:6" ht="15.75" customHeight="1" x14ac:dyDescent="0.2">
      <c r="C112" s="45"/>
      <c r="D112" s="45"/>
      <c r="E112" s="45"/>
      <c r="F112" s="45"/>
    </row>
    <row r="113" spans="3:6" ht="15.75" customHeight="1" x14ac:dyDescent="0.2">
      <c r="C113" s="45"/>
      <c r="D113" s="45"/>
      <c r="E113" s="45"/>
      <c r="F113" s="45"/>
    </row>
    <row r="114" spans="3:6" ht="15.75" customHeight="1" x14ac:dyDescent="0.2">
      <c r="C114" s="45"/>
      <c r="D114" s="45"/>
      <c r="E114" s="45"/>
      <c r="F114" s="45"/>
    </row>
    <row r="115" spans="3:6" ht="15.75" customHeight="1" x14ac:dyDescent="0.2">
      <c r="C115" s="45"/>
      <c r="D115" s="45"/>
      <c r="E115" s="45"/>
      <c r="F115" s="45"/>
    </row>
    <row r="116" spans="3:6" ht="15.75" customHeight="1" x14ac:dyDescent="0.2">
      <c r="C116" s="45"/>
      <c r="D116" s="45"/>
      <c r="E116" s="45"/>
      <c r="F116" s="45"/>
    </row>
    <row r="117" spans="3:6" ht="15.75" customHeight="1" x14ac:dyDescent="0.2">
      <c r="C117" s="45"/>
      <c r="D117" s="45"/>
      <c r="E117" s="45"/>
      <c r="F117" s="45"/>
    </row>
    <row r="118" spans="3:6" ht="15.75" customHeight="1" x14ac:dyDescent="0.2">
      <c r="C118" s="45"/>
      <c r="D118" s="45"/>
      <c r="E118" s="45"/>
      <c r="F118" s="45"/>
    </row>
    <row r="119" spans="3:6" ht="15.75" customHeight="1" x14ac:dyDescent="0.2">
      <c r="C119" s="45"/>
      <c r="D119" s="45"/>
      <c r="E119" s="45"/>
      <c r="F119" s="45"/>
    </row>
    <row r="120" spans="3:6" ht="15.75" customHeight="1" x14ac:dyDescent="0.2">
      <c r="C120" s="45"/>
      <c r="D120" s="45"/>
      <c r="E120" s="45"/>
      <c r="F120" s="45"/>
    </row>
    <row r="121" spans="3:6" ht="15.75" customHeight="1" x14ac:dyDescent="0.2">
      <c r="C121" s="45"/>
      <c r="D121" s="45"/>
      <c r="E121" s="45"/>
      <c r="F121" s="45"/>
    </row>
    <row r="122" spans="3:6" ht="15.75" customHeight="1" x14ac:dyDescent="0.2">
      <c r="C122" s="45"/>
      <c r="D122" s="45"/>
      <c r="E122" s="45"/>
      <c r="F122" s="45"/>
    </row>
    <row r="123" spans="3:6" ht="15.75" customHeight="1" x14ac:dyDescent="0.2">
      <c r="C123" s="45"/>
      <c r="D123" s="45"/>
      <c r="E123" s="45"/>
      <c r="F123" s="45"/>
    </row>
    <row r="124" spans="3:6" ht="15.75" customHeight="1" x14ac:dyDescent="0.2">
      <c r="C124" s="45"/>
      <c r="D124" s="45"/>
      <c r="E124" s="45"/>
      <c r="F124" s="45"/>
    </row>
    <row r="125" spans="3:6" ht="15.75" customHeight="1" x14ac:dyDescent="0.2">
      <c r="C125" s="45"/>
      <c r="D125" s="45"/>
      <c r="E125" s="45"/>
      <c r="F125" s="45"/>
    </row>
    <row r="126" spans="3:6" ht="15.75" customHeight="1" x14ac:dyDescent="0.2">
      <c r="C126" s="45"/>
      <c r="D126" s="45"/>
      <c r="E126" s="45"/>
      <c r="F126" s="45"/>
    </row>
    <row r="127" spans="3:6" ht="15.75" customHeight="1" x14ac:dyDescent="0.2">
      <c r="C127" s="45"/>
      <c r="D127" s="45"/>
      <c r="E127" s="45"/>
      <c r="F127" s="45"/>
    </row>
    <row r="128" spans="3:6" ht="15.75" customHeight="1" x14ac:dyDescent="0.2">
      <c r="C128" s="45"/>
      <c r="D128" s="45"/>
      <c r="E128" s="45"/>
      <c r="F128" s="45"/>
    </row>
    <row r="129" spans="3:6" ht="15.75" customHeight="1" x14ac:dyDescent="0.2">
      <c r="C129" s="45"/>
      <c r="D129" s="45"/>
      <c r="E129" s="45"/>
      <c r="F129" s="45"/>
    </row>
    <row r="130" spans="3:6" ht="15.75" customHeight="1" x14ac:dyDescent="0.2">
      <c r="C130" s="45"/>
      <c r="D130" s="45"/>
      <c r="E130" s="45"/>
      <c r="F130" s="45"/>
    </row>
    <row r="131" spans="3:6" ht="15.75" customHeight="1" x14ac:dyDescent="0.2">
      <c r="C131" s="45"/>
      <c r="D131" s="45"/>
      <c r="E131" s="45"/>
      <c r="F131" s="45"/>
    </row>
    <row r="132" spans="3:6" ht="15.75" customHeight="1" x14ac:dyDescent="0.2">
      <c r="C132" s="45"/>
      <c r="D132" s="45"/>
      <c r="E132" s="45"/>
      <c r="F132" s="45"/>
    </row>
    <row r="133" spans="3:6" ht="15.75" customHeight="1" x14ac:dyDescent="0.2">
      <c r="C133" s="45"/>
      <c r="D133" s="45"/>
      <c r="E133" s="45"/>
      <c r="F133" s="45"/>
    </row>
    <row r="134" spans="3:6" ht="15.75" customHeight="1" x14ac:dyDescent="0.2">
      <c r="C134" s="45"/>
      <c r="D134" s="45"/>
      <c r="E134" s="45"/>
      <c r="F134" s="45"/>
    </row>
    <row r="135" spans="3:6" ht="15.75" customHeight="1" x14ac:dyDescent="0.2">
      <c r="C135" s="45"/>
      <c r="D135" s="45"/>
      <c r="E135" s="45"/>
      <c r="F135" s="45"/>
    </row>
    <row r="136" spans="3:6" ht="15.75" customHeight="1" x14ac:dyDescent="0.2">
      <c r="C136" s="45"/>
      <c r="D136" s="45"/>
      <c r="E136" s="45"/>
      <c r="F136" s="45"/>
    </row>
    <row r="137" spans="3:6" ht="15.75" customHeight="1" x14ac:dyDescent="0.2">
      <c r="C137" s="45"/>
      <c r="D137" s="45"/>
      <c r="E137" s="45"/>
      <c r="F137" s="45"/>
    </row>
    <row r="138" spans="3:6" ht="15.75" customHeight="1" x14ac:dyDescent="0.2">
      <c r="C138" s="45"/>
      <c r="D138" s="45"/>
      <c r="E138" s="45"/>
      <c r="F138" s="45"/>
    </row>
    <row r="139" spans="3:6" ht="15.75" customHeight="1" x14ac:dyDescent="0.2">
      <c r="C139" s="45"/>
      <c r="D139" s="45"/>
      <c r="E139" s="45"/>
      <c r="F139" s="45"/>
    </row>
    <row r="140" spans="3:6" ht="15.75" customHeight="1" x14ac:dyDescent="0.2">
      <c r="C140" s="45"/>
      <c r="D140" s="45"/>
      <c r="E140" s="45"/>
      <c r="F140" s="45"/>
    </row>
    <row r="141" spans="3:6" ht="15.75" customHeight="1" x14ac:dyDescent="0.2">
      <c r="C141" s="45"/>
      <c r="D141" s="45"/>
      <c r="E141" s="45"/>
      <c r="F141" s="45"/>
    </row>
    <row r="142" spans="3:6" ht="15.75" customHeight="1" x14ac:dyDescent="0.2">
      <c r="C142" s="45"/>
      <c r="D142" s="45"/>
      <c r="E142" s="45"/>
      <c r="F142" s="45"/>
    </row>
    <row r="143" spans="3:6" ht="15.75" customHeight="1" x14ac:dyDescent="0.2">
      <c r="C143" s="45"/>
      <c r="D143" s="45"/>
      <c r="E143" s="45"/>
      <c r="F143" s="45"/>
    </row>
    <row r="144" spans="3:6" ht="15.75" customHeight="1" x14ac:dyDescent="0.2">
      <c r="C144" s="45"/>
      <c r="D144" s="45"/>
      <c r="E144" s="45"/>
      <c r="F144" s="45"/>
    </row>
    <row r="145" spans="3:6" ht="15.75" customHeight="1" x14ac:dyDescent="0.2">
      <c r="C145" s="45"/>
      <c r="D145" s="45"/>
      <c r="E145" s="45"/>
      <c r="F145" s="45"/>
    </row>
    <row r="146" spans="3:6" ht="15.75" customHeight="1" x14ac:dyDescent="0.2">
      <c r="C146" s="45"/>
      <c r="D146" s="45"/>
      <c r="E146" s="45"/>
      <c r="F146" s="45"/>
    </row>
    <row r="147" spans="3:6" ht="15.75" customHeight="1" x14ac:dyDescent="0.2">
      <c r="C147" s="45"/>
      <c r="D147" s="45"/>
      <c r="E147" s="45"/>
      <c r="F147" s="45"/>
    </row>
    <row r="148" spans="3:6" ht="15.75" customHeight="1" x14ac:dyDescent="0.2">
      <c r="C148" s="45"/>
      <c r="D148" s="45"/>
      <c r="E148" s="45"/>
      <c r="F148" s="45"/>
    </row>
    <row r="149" spans="3:6" ht="15.75" customHeight="1" x14ac:dyDescent="0.2">
      <c r="C149" s="45"/>
      <c r="D149" s="45"/>
      <c r="E149" s="45"/>
      <c r="F149" s="45"/>
    </row>
    <row r="150" spans="3:6" ht="15.75" customHeight="1" x14ac:dyDescent="0.2">
      <c r="C150" s="45"/>
      <c r="D150" s="45"/>
      <c r="E150" s="45"/>
      <c r="F150" s="45"/>
    </row>
    <row r="151" spans="3:6" ht="15.75" customHeight="1" x14ac:dyDescent="0.2">
      <c r="C151" s="45"/>
      <c r="D151" s="45"/>
      <c r="E151" s="45"/>
      <c r="F151" s="45"/>
    </row>
    <row r="152" spans="3:6" ht="15.75" customHeight="1" x14ac:dyDescent="0.2">
      <c r="C152" s="45"/>
      <c r="D152" s="45"/>
      <c r="E152" s="45"/>
      <c r="F152" s="45"/>
    </row>
    <row r="153" spans="3:6" ht="15.75" customHeight="1" x14ac:dyDescent="0.2">
      <c r="C153" s="45"/>
      <c r="D153" s="45"/>
      <c r="E153" s="45"/>
      <c r="F153" s="45"/>
    </row>
    <row r="154" spans="3:6" ht="15.75" customHeight="1" x14ac:dyDescent="0.2">
      <c r="C154" s="45"/>
      <c r="D154" s="45"/>
      <c r="E154" s="45"/>
      <c r="F154" s="45"/>
    </row>
    <row r="155" spans="3:6" ht="15.75" customHeight="1" x14ac:dyDescent="0.2">
      <c r="C155" s="45"/>
      <c r="D155" s="45"/>
      <c r="E155" s="45"/>
      <c r="F155" s="45"/>
    </row>
    <row r="156" spans="3:6" ht="15.75" customHeight="1" x14ac:dyDescent="0.2">
      <c r="C156" s="45"/>
      <c r="D156" s="45"/>
      <c r="E156" s="45"/>
      <c r="F156" s="45"/>
    </row>
    <row r="157" spans="3:6" ht="15.75" customHeight="1" x14ac:dyDescent="0.2">
      <c r="C157" s="45"/>
      <c r="D157" s="45"/>
      <c r="E157" s="45"/>
      <c r="F157" s="45"/>
    </row>
    <row r="158" spans="3:6" ht="15.75" customHeight="1" x14ac:dyDescent="0.2">
      <c r="C158" s="45"/>
      <c r="D158" s="45"/>
      <c r="E158" s="45"/>
      <c r="F158" s="45"/>
    </row>
    <row r="159" spans="3:6" ht="15.75" customHeight="1" x14ac:dyDescent="0.2">
      <c r="C159" s="45"/>
      <c r="D159" s="45"/>
      <c r="E159" s="45"/>
      <c r="F159" s="45"/>
    </row>
    <row r="160" spans="3:6" ht="15.75" customHeight="1" x14ac:dyDescent="0.2">
      <c r="C160" s="45"/>
      <c r="D160" s="45"/>
      <c r="E160" s="45"/>
      <c r="F160" s="45"/>
    </row>
    <row r="161" spans="3:6" ht="15.75" customHeight="1" x14ac:dyDescent="0.2">
      <c r="C161" s="45"/>
      <c r="D161" s="45"/>
      <c r="E161" s="45"/>
      <c r="F161" s="45"/>
    </row>
    <row r="162" spans="3:6" ht="15.75" customHeight="1" x14ac:dyDescent="0.2">
      <c r="C162" s="45"/>
      <c r="D162" s="45"/>
      <c r="E162" s="45"/>
      <c r="F162" s="45"/>
    </row>
    <row r="163" spans="3:6" ht="15.75" customHeight="1" x14ac:dyDescent="0.2">
      <c r="C163" s="45"/>
      <c r="D163" s="45"/>
      <c r="E163" s="45"/>
      <c r="F163" s="45"/>
    </row>
    <row r="164" spans="3:6" ht="15.75" customHeight="1" x14ac:dyDescent="0.2">
      <c r="C164" s="45"/>
      <c r="D164" s="45"/>
      <c r="E164" s="45"/>
      <c r="F164" s="45"/>
    </row>
    <row r="165" spans="3:6" ht="15.75" customHeight="1" x14ac:dyDescent="0.2">
      <c r="C165" s="45"/>
      <c r="D165" s="45"/>
      <c r="E165" s="45"/>
      <c r="F165" s="45"/>
    </row>
    <row r="166" spans="3:6" ht="15.75" customHeight="1" x14ac:dyDescent="0.2">
      <c r="C166" s="45"/>
      <c r="D166" s="45"/>
      <c r="E166" s="45"/>
      <c r="F166" s="45"/>
    </row>
    <row r="167" spans="3:6" ht="15.75" customHeight="1" x14ac:dyDescent="0.2">
      <c r="C167" s="45"/>
      <c r="D167" s="45"/>
      <c r="E167" s="45"/>
      <c r="F167" s="45"/>
    </row>
    <row r="168" spans="3:6" ht="15.75" customHeight="1" x14ac:dyDescent="0.2">
      <c r="C168" s="45"/>
      <c r="D168" s="45"/>
      <c r="E168" s="45"/>
      <c r="F168" s="45"/>
    </row>
    <row r="169" spans="3:6" ht="15.75" customHeight="1" x14ac:dyDescent="0.2">
      <c r="C169" s="45"/>
      <c r="D169" s="45"/>
      <c r="E169" s="45"/>
      <c r="F169" s="45"/>
    </row>
    <row r="170" spans="3:6" ht="15.75" customHeight="1" x14ac:dyDescent="0.2">
      <c r="C170" s="45"/>
      <c r="D170" s="45"/>
      <c r="E170" s="45"/>
      <c r="F170" s="45"/>
    </row>
    <row r="171" spans="3:6" ht="15.75" customHeight="1" x14ac:dyDescent="0.2">
      <c r="C171" s="45"/>
      <c r="D171" s="45"/>
      <c r="E171" s="45"/>
      <c r="F171" s="45"/>
    </row>
    <row r="172" spans="3:6" ht="15.75" customHeight="1" x14ac:dyDescent="0.2">
      <c r="C172" s="45"/>
      <c r="D172" s="45"/>
      <c r="E172" s="45"/>
      <c r="F172" s="45"/>
    </row>
    <row r="173" spans="3:6" ht="15.75" customHeight="1" x14ac:dyDescent="0.2">
      <c r="C173" s="45"/>
      <c r="D173" s="45"/>
      <c r="E173" s="45"/>
      <c r="F173" s="45"/>
    </row>
    <row r="174" spans="3:6" ht="15.75" customHeight="1" x14ac:dyDescent="0.2">
      <c r="C174" s="45"/>
      <c r="D174" s="45"/>
      <c r="E174" s="45"/>
      <c r="F174" s="45"/>
    </row>
    <row r="175" spans="3:6" ht="15.75" customHeight="1" x14ac:dyDescent="0.2">
      <c r="C175" s="45"/>
      <c r="D175" s="45"/>
      <c r="E175" s="45"/>
      <c r="F175" s="45"/>
    </row>
    <row r="176" spans="3:6" ht="15.75" customHeight="1" x14ac:dyDescent="0.2">
      <c r="C176" s="45"/>
      <c r="D176" s="45"/>
      <c r="E176" s="45"/>
      <c r="F176" s="45"/>
    </row>
    <row r="177" spans="3:6" ht="15.75" customHeight="1" x14ac:dyDescent="0.2">
      <c r="C177" s="45"/>
      <c r="D177" s="45"/>
      <c r="E177" s="45"/>
      <c r="F177" s="45"/>
    </row>
    <row r="178" spans="3:6" ht="15.75" customHeight="1" x14ac:dyDescent="0.2">
      <c r="C178" s="45"/>
      <c r="D178" s="45"/>
      <c r="E178" s="45"/>
      <c r="F178" s="45"/>
    </row>
    <row r="179" spans="3:6" ht="15.75" customHeight="1" x14ac:dyDescent="0.2">
      <c r="C179" s="45"/>
      <c r="D179" s="45"/>
      <c r="E179" s="45"/>
      <c r="F179" s="45"/>
    </row>
    <row r="180" spans="3:6" ht="15.75" customHeight="1" x14ac:dyDescent="0.2">
      <c r="C180" s="45"/>
      <c r="D180" s="45"/>
      <c r="E180" s="45"/>
      <c r="F180" s="45"/>
    </row>
    <row r="181" spans="3:6" ht="15.75" customHeight="1" x14ac:dyDescent="0.2">
      <c r="C181" s="45"/>
      <c r="D181" s="45"/>
      <c r="E181" s="45"/>
      <c r="F181" s="45"/>
    </row>
    <row r="182" spans="3:6" ht="15.75" customHeight="1" x14ac:dyDescent="0.2">
      <c r="C182" s="45"/>
      <c r="D182" s="45"/>
      <c r="E182" s="45"/>
      <c r="F182" s="45"/>
    </row>
    <row r="183" spans="3:6" ht="15.75" customHeight="1" x14ac:dyDescent="0.2">
      <c r="C183" s="45"/>
      <c r="D183" s="45"/>
      <c r="E183" s="45"/>
      <c r="F183" s="45"/>
    </row>
    <row r="184" spans="3:6" ht="15.75" customHeight="1" x14ac:dyDescent="0.2">
      <c r="C184" s="45"/>
      <c r="D184" s="45"/>
      <c r="E184" s="45"/>
      <c r="F184" s="45"/>
    </row>
    <row r="185" spans="3:6" ht="15.75" customHeight="1" x14ac:dyDescent="0.2">
      <c r="C185" s="45"/>
      <c r="D185" s="45"/>
      <c r="E185" s="45"/>
      <c r="F185" s="45"/>
    </row>
    <row r="186" spans="3:6" ht="15.75" customHeight="1" x14ac:dyDescent="0.2">
      <c r="C186" s="45"/>
      <c r="D186" s="45"/>
      <c r="E186" s="45"/>
      <c r="F186" s="45"/>
    </row>
    <row r="187" spans="3:6" ht="15.75" customHeight="1" x14ac:dyDescent="0.2">
      <c r="C187" s="45"/>
      <c r="D187" s="45"/>
      <c r="E187" s="45"/>
      <c r="F187" s="45"/>
    </row>
    <row r="188" spans="3:6" ht="15.75" customHeight="1" x14ac:dyDescent="0.2">
      <c r="C188" s="45"/>
      <c r="D188" s="45"/>
      <c r="E188" s="45"/>
      <c r="F188" s="45"/>
    </row>
    <row r="189" spans="3:6" ht="15.75" customHeight="1" x14ac:dyDescent="0.2">
      <c r="C189" s="45"/>
      <c r="D189" s="45"/>
      <c r="E189" s="45"/>
      <c r="F189" s="45"/>
    </row>
    <row r="190" spans="3:6" ht="15.75" customHeight="1" x14ac:dyDescent="0.2">
      <c r="C190" s="45"/>
      <c r="D190" s="45"/>
      <c r="E190" s="45"/>
      <c r="F190" s="45"/>
    </row>
    <row r="191" spans="3:6" ht="15.75" customHeight="1" x14ac:dyDescent="0.2">
      <c r="C191" s="45"/>
      <c r="D191" s="45"/>
      <c r="E191" s="45"/>
      <c r="F191" s="45"/>
    </row>
    <row r="192" spans="3:6" ht="15.75" customHeight="1" x14ac:dyDescent="0.2">
      <c r="C192" s="45"/>
      <c r="D192" s="45"/>
      <c r="E192" s="45"/>
      <c r="F192" s="45"/>
    </row>
    <row r="193" spans="3:6" ht="15.75" customHeight="1" x14ac:dyDescent="0.2">
      <c r="C193" s="45"/>
      <c r="D193" s="45"/>
      <c r="E193" s="45"/>
      <c r="F193" s="45"/>
    </row>
    <row r="194" spans="3:6" ht="15.75" customHeight="1" x14ac:dyDescent="0.2">
      <c r="C194" s="45"/>
      <c r="D194" s="45"/>
      <c r="E194" s="45"/>
      <c r="F194" s="45"/>
    </row>
    <row r="195" spans="3:6" ht="15.75" customHeight="1" x14ac:dyDescent="0.2">
      <c r="C195" s="45"/>
      <c r="D195" s="45"/>
      <c r="E195" s="45"/>
      <c r="F195" s="45"/>
    </row>
    <row r="196" spans="3:6" ht="15.75" customHeight="1" x14ac:dyDescent="0.2">
      <c r="C196" s="45"/>
      <c r="D196" s="45"/>
      <c r="E196" s="45"/>
      <c r="F196" s="45"/>
    </row>
    <row r="197" spans="3:6" ht="15.75" customHeight="1" x14ac:dyDescent="0.2">
      <c r="C197" s="45"/>
      <c r="D197" s="45"/>
      <c r="E197" s="45"/>
      <c r="F197" s="45"/>
    </row>
    <row r="198" spans="3:6" ht="15.75" customHeight="1" x14ac:dyDescent="0.2">
      <c r="C198" s="45"/>
      <c r="D198" s="45"/>
      <c r="E198" s="45"/>
      <c r="F198" s="45"/>
    </row>
    <row r="199" spans="3:6" ht="15.75" customHeight="1" x14ac:dyDescent="0.2">
      <c r="C199" s="45"/>
      <c r="D199" s="45"/>
      <c r="E199" s="45"/>
      <c r="F199" s="45"/>
    </row>
    <row r="200" spans="3:6" ht="15.75" customHeight="1" x14ac:dyDescent="0.2">
      <c r="C200" s="45"/>
      <c r="D200" s="45"/>
      <c r="E200" s="45"/>
      <c r="F200" s="45"/>
    </row>
    <row r="201" spans="3:6" ht="15.75" customHeight="1" x14ac:dyDescent="0.2">
      <c r="C201" s="45"/>
      <c r="D201" s="45"/>
      <c r="E201" s="45"/>
      <c r="F201" s="45"/>
    </row>
    <row r="202" spans="3:6" ht="15.75" customHeight="1" x14ac:dyDescent="0.2">
      <c r="C202" s="45"/>
      <c r="D202" s="45"/>
      <c r="E202" s="45"/>
      <c r="F202" s="45"/>
    </row>
    <row r="203" spans="3:6" ht="15.75" customHeight="1" x14ac:dyDescent="0.2">
      <c r="C203" s="45"/>
      <c r="D203" s="45"/>
      <c r="E203" s="45"/>
      <c r="F203" s="45"/>
    </row>
    <row r="204" spans="3:6" ht="15.75" customHeight="1" x14ac:dyDescent="0.2">
      <c r="C204" s="45"/>
      <c r="D204" s="45"/>
      <c r="E204" s="45"/>
      <c r="F204" s="45"/>
    </row>
    <row r="205" spans="3:6" ht="15.75" customHeight="1" x14ac:dyDescent="0.2">
      <c r="C205" s="45"/>
      <c r="D205" s="45"/>
      <c r="E205" s="45"/>
      <c r="F205" s="45"/>
    </row>
    <row r="206" spans="3:6" ht="15.75" customHeight="1" x14ac:dyDescent="0.2">
      <c r="C206" s="45"/>
      <c r="D206" s="45"/>
      <c r="E206" s="45"/>
      <c r="F206" s="45"/>
    </row>
    <row r="207" spans="3:6" ht="15.75" customHeight="1" x14ac:dyDescent="0.2">
      <c r="C207" s="45"/>
      <c r="D207" s="45"/>
      <c r="E207" s="45"/>
      <c r="F207" s="45"/>
    </row>
    <row r="208" spans="3:6" ht="15.75" customHeight="1" x14ac:dyDescent="0.2">
      <c r="C208" s="45"/>
      <c r="D208" s="45"/>
      <c r="E208" s="45"/>
      <c r="F208" s="45"/>
    </row>
    <row r="209" spans="3:6" ht="15.75" customHeight="1" x14ac:dyDescent="0.2">
      <c r="C209" s="45"/>
      <c r="D209" s="45"/>
      <c r="E209" s="45"/>
      <c r="F209" s="45"/>
    </row>
    <row r="210" spans="3:6" ht="15.75" customHeight="1" x14ac:dyDescent="0.2">
      <c r="C210" s="45"/>
      <c r="D210" s="45"/>
      <c r="E210" s="45"/>
      <c r="F210" s="45"/>
    </row>
    <row r="211" spans="3:6" ht="15.75" customHeight="1" x14ac:dyDescent="0.2">
      <c r="C211" s="45"/>
      <c r="D211" s="45"/>
      <c r="E211" s="45"/>
      <c r="F211" s="45"/>
    </row>
    <row r="212" spans="3:6" ht="15.75" customHeight="1" x14ac:dyDescent="0.2">
      <c r="C212" s="45"/>
      <c r="D212" s="45"/>
      <c r="E212" s="45"/>
      <c r="F212" s="45"/>
    </row>
    <row r="213" spans="3:6" ht="15.75" customHeight="1" x14ac:dyDescent="0.2">
      <c r="C213" s="45"/>
      <c r="D213" s="45"/>
      <c r="E213" s="45"/>
      <c r="F213" s="45"/>
    </row>
    <row r="214" spans="3:6" ht="15.75" customHeight="1" x14ac:dyDescent="0.2">
      <c r="C214" s="45"/>
      <c r="D214" s="45"/>
      <c r="E214" s="45"/>
      <c r="F214" s="45"/>
    </row>
    <row r="215" spans="3:6" ht="15.75" customHeight="1" x14ac:dyDescent="0.2">
      <c r="C215" s="45"/>
      <c r="D215" s="45"/>
      <c r="E215" s="45"/>
      <c r="F215" s="45"/>
    </row>
    <row r="216" spans="3:6" ht="15.75" customHeight="1" x14ac:dyDescent="0.2">
      <c r="C216" s="45"/>
      <c r="D216" s="45"/>
      <c r="E216" s="45"/>
      <c r="F216" s="45"/>
    </row>
    <row r="217" spans="3:6" ht="15.75" customHeight="1" x14ac:dyDescent="0.2">
      <c r="C217" s="45"/>
      <c r="D217" s="45"/>
      <c r="E217" s="45"/>
      <c r="F217" s="45"/>
    </row>
    <row r="218" spans="3:6" ht="15.75" customHeight="1" x14ac:dyDescent="0.2">
      <c r="C218" s="45"/>
      <c r="D218" s="45"/>
      <c r="E218" s="45"/>
      <c r="F218" s="45"/>
    </row>
    <row r="219" spans="3:6" ht="15.75" customHeight="1" x14ac:dyDescent="0.2">
      <c r="C219" s="45"/>
      <c r="D219" s="45"/>
      <c r="E219" s="45"/>
      <c r="F219" s="45"/>
    </row>
    <row r="220" spans="3:6" ht="15.75" customHeight="1" x14ac:dyDescent="0.2">
      <c r="C220" s="45"/>
      <c r="D220" s="45"/>
      <c r="E220" s="45"/>
      <c r="F220" s="45"/>
    </row>
    <row r="221" spans="3:6" ht="15.75" customHeight="1" x14ac:dyDescent="0.2">
      <c r="C221" s="45"/>
      <c r="D221" s="45"/>
      <c r="E221" s="45"/>
      <c r="F221" s="45"/>
    </row>
    <row r="222" spans="3:6" ht="15.75" customHeight="1" x14ac:dyDescent="0.2">
      <c r="C222" s="45"/>
      <c r="D222" s="45"/>
      <c r="E222" s="45"/>
      <c r="F222" s="45"/>
    </row>
    <row r="223" spans="3:6" ht="15.75" customHeight="1" x14ac:dyDescent="0.2">
      <c r="C223" s="45"/>
      <c r="D223" s="45"/>
      <c r="E223" s="45"/>
      <c r="F223" s="45"/>
    </row>
    <row r="224" spans="3:6" ht="15.75" customHeight="1" x14ac:dyDescent="0.2">
      <c r="C224" s="45"/>
      <c r="D224" s="45"/>
      <c r="E224" s="45"/>
      <c r="F224" s="45"/>
    </row>
    <row r="225" spans="3:6" ht="15.75" customHeight="1" x14ac:dyDescent="0.2">
      <c r="C225" s="45"/>
      <c r="D225" s="45"/>
      <c r="E225" s="45"/>
      <c r="F225" s="45"/>
    </row>
    <row r="226" spans="3:6" ht="15.75" customHeight="1" x14ac:dyDescent="0.2">
      <c r="C226" s="45"/>
      <c r="D226" s="45"/>
      <c r="E226" s="45"/>
      <c r="F226" s="45"/>
    </row>
    <row r="227" spans="3:6" ht="15.75" customHeight="1" x14ac:dyDescent="0.2">
      <c r="C227" s="45"/>
      <c r="D227" s="45"/>
      <c r="E227" s="45"/>
      <c r="F227" s="45"/>
    </row>
    <row r="228" spans="3:6" ht="15.75" customHeight="1" x14ac:dyDescent="0.2">
      <c r="C228" s="45"/>
      <c r="D228" s="45"/>
      <c r="E228" s="45"/>
      <c r="F228" s="45"/>
    </row>
    <row r="229" spans="3:6" ht="15.75" customHeight="1" x14ac:dyDescent="0.2">
      <c r="C229" s="45"/>
      <c r="D229" s="45"/>
      <c r="E229" s="45"/>
      <c r="F229" s="45"/>
    </row>
    <row r="230" spans="3:6" ht="15.75" customHeight="1" x14ac:dyDescent="0.2">
      <c r="C230" s="45"/>
      <c r="D230" s="45"/>
      <c r="E230" s="45"/>
      <c r="F230" s="45"/>
    </row>
    <row r="231" spans="3:6" ht="15.75" customHeight="1" x14ac:dyDescent="0.2">
      <c r="C231" s="45"/>
      <c r="D231" s="45"/>
      <c r="E231" s="45"/>
      <c r="F231" s="45"/>
    </row>
    <row r="232" spans="3:6" ht="15.75" customHeight="1" x14ac:dyDescent="0.2">
      <c r="C232" s="45"/>
      <c r="D232" s="45"/>
      <c r="E232" s="45"/>
      <c r="F232" s="45"/>
    </row>
    <row r="233" spans="3:6" ht="15.75" customHeight="1" x14ac:dyDescent="0.2">
      <c r="C233" s="45"/>
      <c r="D233" s="45"/>
      <c r="E233" s="45"/>
      <c r="F233" s="45"/>
    </row>
    <row r="234" spans="3:6" ht="15.75" customHeight="1" x14ac:dyDescent="0.2">
      <c r="C234" s="45"/>
      <c r="D234" s="45"/>
      <c r="E234" s="45"/>
      <c r="F234" s="45"/>
    </row>
    <row r="235" spans="3:6" ht="15.75" customHeight="1" x14ac:dyDescent="0.2">
      <c r="C235" s="45"/>
      <c r="D235" s="45"/>
      <c r="E235" s="45"/>
      <c r="F235" s="45"/>
    </row>
    <row r="236" spans="3:6" ht="15.75" customHeight="1" x14ac:dyDescent="0.2">
      <c r="C236" s="45"/>
      <c r="D236" s="45"/>
      <c r="E236" s="45"/>
      <c r="F236" s="45"/>
    </row>
    <row r="237" spans="3:6" ht="15.75" customHeight="1" x14ac:dyDescent="0.2">
      <c r="C237" s="45"/>
      <c r="D237" s="45"/>
      <c r="E237" s="45"/>
      <c r="F237" s="45"/>
    </row>
    <row r="238" spans="3:6" ht="15.75" customHeight="1" x14ac:dyDescent="0.2">
      <c r="C238" s="45"/>
      <c r="D238" s="45"/>
      <c r="E238" s="45"/>
      <c r="F238" s="45"/>
    </row>
    <row r="239" spans="3:6" ht="15.75" customHeight="1" x14ac:dyDescent="0.2">
      <c r="C239" s="45"/>
      <c r="D239" s="45"/>
      <c r="E239" s="45"/>
      <c r="F239" s="45"/>
    </row>
    <row r="240" spans="3:6" ht="15.75" customHeight="1" x14ac:dyDescent="0.2">
      <c r="C240" s="45"/>
      <c r="D240" s="45"/>
      <c r="E240" s="45"/>
      <c r="F240" s="45"/>
    </row>
    <row r="241" spans="3:6" ht="15.75" customHeight="1" x14ac:dyDescent="0.2">
      <c r="C241" s="45"/>
      <c r="D241" s="45"/>
      <c r="E241" s="45"/>
      <c r="F241" s="45"/>
    </row>
    <row r="242" spans="3:6" ht="15.75" customHeight="1" x14ac:dyDescent="0.2">
      <c r="C242" s="45"/>
      <c r="D242" s="45"/>
      <c r="E242" s="45"/>
      <c r="F242" s="45"/>
    </row>
    <row r="243" spans="3:6" ht="15.75" customHeight="1" x14ac:dyDescent="0.2">
      <c r="C243" s="45"/>
      <c r="D243" s="45"/>
      <c r="E243" s="45"/>
      <c r="F243" s="45"/>
    </row>
    <row r="244" spans="3:6" ht="15.75" customHeight="1" x14ac:dyDescent="0.2">
      <c r="C244" s="45"/>
      <c r="D244" s="45"/>
      <c r="E244" s="45"/>
      <c r="F244" s="45"/>
    </row>
    <row r="245" spans="3:6" ht="15.75" customHeight="1" x14ac:dyDescent="0.2">
      <c r="C245" s="45"/>
      <c r="D245" s="45"/>
      <c r="E245" s="45"/>
      <c r="F245" s="45"/>
    </row>
    <row r="246" spans="3:6" ht="15.75" customHeight="1" x14ac:dyDescent="0.2">
      <c r="C246" s="45"/>
      <c r="D246" s="45"/>
      <c r="E246" s="45"/>
      <c r="F246" s="45"/>
    </row>
    <row r="247" spans="3:6" ht="15.75" customHeight="1" x14ac:dyDescent="0.2">
      <c r="C247" s="45"/>
      <c r="D247" s="45"/>
      <c r="E247" s="45"/>
      <c r="F247" s="45"/>
    </row>
    <row r="248" spans="3:6" ht="15.75" customHeight="1" x14ac:dyDescent="0.2">
      <c r="C248" s="45"/>
      <c r="D248" s="45"/>
      <c r="E248" s="45"/>
      <c r="F248" s="45"/>
    </row>
    <row r="249" spans="3:6" ht="15.75" customHeight="1" x14ac:dyDescent="0.2">
      <c r="C249" s="45"/>
      <c r="D249" s="45"/>
      <c r="E249" s="45"/>
      <c r="F249" s="45"/>
    </row>
    <row r="250" spans="3:6" ht="15.75" customHeight="1" x14ac:dyDescent="0.2">
      <c r="C250" s="45"/>
      <c r="D250" s="45"/>
      <c r="E250" s="45"/>
      <c r="F250" s="45"/>
    </row>
    <row r="251" spans="3:6" ht="15.75" customHeight="1" x14ac:dyDescent="0.2">
      <c r="C251" s="45"/>
      <c r="D251" s="45"/>
      <c r="E251" s="45"/>
      <c r="F251" s="45"/>
    </row>
    <row r="252" spans="3:6" ht="15.75" customHeight="1" x14ac:dyDescent="0.2">
      <c r="C252" s="45"/>
      <c r="D252" s="45"/>
      <c r="E252" s="45"/>
      <c r="F252" s="45"/>
    </row>
    <row r="253" spans="3:6" ht="15.75" customHeight="1" x14ac:dyDescent="0.2">
      <c r="C253" s="45"/>
      <c r="D253" s="45"/>
      <c r="E253" s="45"/>
      <c r="F253" s="45"/>
    </row>
    <row r="254" spans="3:6" ht="15.75" customHeight="1" x14ac:dyDescent="0.2">
      <c r="C254" s="45"/>
      <c r="D254" s="45"/>
      <c r="E254" s="45"/>
      <c r="F254" s="45"/>
    </row>
    <row r="255" spans="3:6" ht="15.75" customHeight="1" x14ac:dyDescent="0.2">
      <c r="C255" s="45"/>
      <c r="D255" s="45"/>
      <c r="E255" s="45"/>
      <c r="F255" s="45"/>
    </row>
    <row r="256" spans="3:6" ht="15.75" customHeight="1" x14ac:dyDescent="0.2">
      <c r="C256" s="45"/>
      <c r="D256" s="45"/>
      <c r="E256" s="45"/>
      <c r="F256" s="45"/>
    </row>
    <row r="257" spans="3:6" ht="15.75" customHeight="1" x14ac:dyDescent="0.2">
      <c r="C257" s="45"/>
      <c r="D257" s="45"/>
      <c r="E257" s="45"/>
      <c r="F257" s="45"/>
    </row>
    <row r="258" spans="3:6" ht="15.75" customHeight="1" x14ac:dyDescent="0.2">
      <c r="C258" s="45"/>
      <c r="D258" s="45"/>
      <c r="E258" s="45"/>
      <c r="F258" s="45"/>
    </row>
    <row r="259" spans="3:6" ht="15.75" customHeight="1" x14ac:dyDescent="0.2">
      <c r="C259" s="45"/>
      <c r="D259" s="45"/>
      <c r="E259" s="45"/>
      <c r="F259" s="45"/>
    </row>
    <row r="260" spans="3:6" ht="15.75" customHeight="1" x14ac:dyDescent="0.2">
      <c r="C260" s="45"/>
      <c r="D260" s="45"/>
      <c r="E260" s="45"/>
      <c r="F260" s="45"/>
    </row>
    <row r="261" spans="3:6" ht="15.75" customHeight="1" x14ac:dyDescent="0.2">
      <c r="C261" s="45"/>
      <c r="D261" s="45"/>
      <c r="E261" s="45"/>
      <c r="F261" s="45"/>
    </row>
    <row r="262" spans="3:6" ht="15.75" customHeight="1" x14ac:dyDescent="0.2">
      <c r="C262" s="45"/>
      <c r="D262" s="45"/>
      <c r="E262" s="45"/>
      <c r="F262" s="45"/>
    </row>
    <row r="263" spans="3:6" ht="15.75" customHeight="1" x14ac:dyDescent="0.2">
      <c r="C263" s="45"/>
      <c r="D263" s="45"/>
      <c r="E263" s="45"/>
      <c r="F263" s="45"/>
    </row>
    <row r="264" spans="3:6" ht="15.75" customHeight="1" x14ac:dyDescent="0.2">
      <c r="C264" s="45"/>
      <c r="D264" s="45"/>
      <c r="E264" s="45"/>
      <c r="F264" s="45"/>
    </row>
    <row r="265" spans="3:6" ht="15.75" customHeight="1" x14ac:dyDescent="0.2">
      <c r="C265" s="45"/>
      <c r="D265" s="45"/>
      <c r="E265" s="45"/>
      <c r="F265" s="45"/>
    </row>
    <row r="266" spans="3:6" ht="15.75" customHeight="1" x14ac:dyDescent="0.2">
      <c r="C266" s="45"/>
      <c r="D266" s="45"/>
      <c r="E266" s="45"/>
      <c r="F266" s="45"/>
    </row>
    <row r="267" spans="3:6" ht="15.75" customHeight="1" x14ac:dyDescent="0.2">
      <c r="C267" s="45"/>
      <c r="D267" s="45"/>
      <c r="E267" s="45"/>
      <c r="F267" s="45"/>
    </row>
    <row r="268" spans="3:6" ht="15.75" customHeight="1" x14ac:dyDescent="0.2">
      <c r="C268" s="45"/>
      <c r="D268" s="45"/>
      <c r="E268" s="45"/>
      <c r="F268" s="45"/>
    </row>
    <row r="269" spans="3:6" ht="15.75" customHeight="1" x14ac:dyDescent="0.2">
      <c r="C269" s="45"/>
      <c r="D269" s="45"/>
      <c r="E269" s="45"/>
      <c r="F269" s="45"/>
    </row>
    <row r="270" spans="3:6" ht="15.75" customHeight="1" x14ac:dyDescent="0.2">
      <c r="C270" s="45"/>
      <c r="D270" s="45"/>
      <c r="E270" s="45"/>
      <c r="F270" s="45"/>
    </row>
    <row r="271" spans="3:6" ht="15.75" customHeight="1" x14ac:dyDescent="0.2">
      <c r="C271" s="45"/>
      <c r="D271" s="45"/>
      <c r="E271" s="45"/>
      <c r="F271" s="45"/>
    </row>
    <row r="272" spans="3:6" ht="15.75" customHeight="1" x14ac:dyDescent="0.2">
      <c r="C272" s="45"/>
      <c r="D272" s="45"/>
      <c r="E272" s="45"/>
      <c r="F272" s="45"/>
    </row>
    <row r="273" spans="3:6" ht="15.75" customHeight="1" x14ac:dyDescent="0.2">
      <c r="C273" s="45"/>
      <c r="D273" s="45"/>
      <c r="E273" s="45"/>
      <c r="F273" s="45"/>
    </row>
    <row r="274" spans="3:6" ht="15.75" customHeight="1" x14ac:dyDescent="0.2">
      <c r="C274" s="45"/>
      <c r="D274" s="45"/>
      <c r="E274" s="45"/>
      <c r="F274" s="45"/>
    </row>
    <row r="275" spans="3:6" ht="15.75" customHeight="1" x14ac:dyDescent="0.2">
      <c r="C275" s="45"/>
      <c r="D275" s="45"/>
      <c r="E275" s="45"/>
      <c r="F275" s="45"/>
    </row>
    <row r="276" spans="3:6" ht="15.75" customHeight="1" x14ac:dyDescent="0.2">
      <c r="C276" s="45"/>
      <c r="D276" s="45"/>
      <c r="E276" s="45"/>
      <c r="F276" s="45"/>
    </row>
    <row r="277" spans="3:6" ht="15.75" customHeight="1" x14ac:dyDescent="0.2">
      <c r="C277" s="45"/>
      <c r="D277" s="45"/>
      <c r="E277" s="45"/>
      <c r="F277" s="45"/>
    </row>
    <row r="278" spans="3:6" ht="15.75" customHeight="1" x14ac:dyDescent="0.2">
      <c r="C278" s="45"/>
      <c r="D278" s="45"/>
      <c r="E278" s="45"/>
      <c r="F278" s="45"/>
    </row>
    <row r="279" spans="3:6" ht="15.75" customHeight="1" x14ac:dyDescent="0.2">
      <c r="C279" s="45"/>
      <c r="D279" s="45"/>
      <c r="E279" s="45"/>
      <c r="F279" s="45"/>
    </row>
    <row r="280" spans="3:6" ht="15.75" customHeight="1" x14ac:dyDescent="0.2">
      <c r="C280" s="45"/>
      <c r="D280" s="45"/>
      <c r="E280" s="45"/>
      <c r="F280" s="45"/>
    </row>
    <row r="281" spans="3:6" ht="15.75" customHeight="1" x14ac:dyDescent="0.2">
      <c r="C281" s="45"/>
      <c r="D281" s="45"/>
      <c r="E281" s="45"/>
      <c r="F281" s="45"/>
    </row>
    <row r="282" spans="3:6" ht="15.75" customHeight="1" x14ac:dyDescent="0.2">
      <c r="C282" s="45"/>
      <c r="D282" s="45"/>
      <c r="E282" s="45"/>
      <c r="F282" s="45"/>
    </row>
    <row r="283" spans="3:6" ht="15.75" customHeight="1" x14ac:dyDescent="0.2">
      <c r="C283" s="45"/>
      <c r="D283" s="45"/>
      <c r="E283" s="45"/>
      <c r="F283" s="45"/>
    </row>
    <row r="284" spans="3:6" ht="15.75" customHeight="1" x14ac:dyDescent="0.2">
      <c r="C284" s="45"/>
      <c r="D284" s="45"/>
      <c r="E284" s="45"/>
      <c r="F284" s="45"/>
    </row>
    <row r="285" spans="3:6" ht="15.75" customHeight="1" x14ac:dyDescent="0.2">
      <c r="C285" s="45"/>
      <c r="D285" s="45"/>
      <c r="E285" s="45"/>
      <c r="F285" s="45"/>
    </row>
    <row r="286" spans="3:6" ht="15.75" customHeight="1" x14ac:dyDescent="0.2">
      <c r="C286" s="45"/>
      <c r="D286" s="45"/>
      <c r="E286" s="45"/>
      <c r="F286" s="45"/>
    </row>
    <row r="287" spans="3:6" ht="15.75" customHeight="1" x14ac:dyDescent="0.2">
      <c r="C287" s="45"/>
      <c r="D287" s="45"/>
      <c r="E287" s="45"/>
      <c r="F287" s="45"/>
    </row>
    <row r="288" spans="3:6" ht="15.75" customHeight="1" x14ac:dyDescent="0.2">
      <c r="C288" s="45"/>
      <c r="D288" s="45"/>
      <c r="E288" s="45"/>
      <c r="F288" s="45"/>
    </row>
    <row r="289" spans="3:6" ht="15.75" customHeight="1" x14ac:dyDescent="0.2">
      <c r="C289" s="45"/>
      <c r="D289" s="45"/>
      <c r="E289" s="45"/>
      <c r="F289" s="45"/>
    </row>
    <row r="290" spans="3:6" ht="15.75" customHeight="1" x14ac:dyDescent="0.2">
      <c r="C290" s="45"/>
      <c r="D290" s="45"/>
      <c r="E290" s="45"/>
      <c r="F290" s="45"/>
    </row>
    <row r="291" spans="3:6" ht="15.75" customHeight="1" x14ac:dyDescent="0.2">
      <c r="C291" s="45"/>
      <c r="D291" s="45"/>
      <c r="E291" s="45"/>
      <c r="F291" s="45"/>
    </row>
    <row r="292" spans="3:6" ht="15.75" customHeight="1" x14ac:dyDescent="0.2">
      <c r="C292" s="45"/>
      <c r="D292" s="45"/>
      <c r="E292" s="45"/>
      <c r="F292" s="45"/>
    </row>
    <row r="293" spans="3:6" ht="15.75" customHeight="1" x14ac:dyDescent="0.2">
      <c r="C293" s="45"/>
      <c r="D293" s="45"/>
      <c r="E293" s="45"/>
      <c r="F293" s="45"/>
    </row>
    <row r="294" spans="3:6" ht="15.75" customHeight="1" x14ac:dyDescent="0.2">
      <c r="C294" s="45"/>
      <c r="D294" s="45"/>
      <c r="E294" s="45"/>
      <c r="F294" s="45"/>
    </row>
    <row r="295" spans="3:6" ht="15.75" customHeight="1" x14ac:dyDescent="0.2">
      <c r="C295" s="45"/>
      <c r="D295" s="45"/>
      <c r="E295" s="45"/>
      <c r="F295" s="45"/>
    </row>
    <row r="296" spans="3:6" ht="15.75" customHeight="1" x14ac:dyDescent="0.2">
      <c r="C296" s="45"/>
      <c r="D296" s="45"/>
      <c r="E296" s="45"/>
      <c r="F296" s="45"/>
    </row>
    <row r="297" spans="3:6" ht="15.75" customHeight="1" x14ac:dyDescent="0.2">
      <c r="C297" s="45"/>
      <c r="D297" s="45"/>
      <c r="E297" s="45"/>
      <c r="F297" s="45"/>
    </row>
    <row r="298" spans="3:6" ht="15.75" customHeight="1" x14ac:dyDescent="0.2">
      <c r="C298" s="45"/>
      <c r="D298" s="45"/>
      <c r="E298" s="45"/>
      <c r="F298" s="45"/>
    </row>
    <row r="299" spans="3:6" ht="15.75" customHeight="1" x14ac:dyDescent="0.2">
      <c r="C299" s="45"/>
      <c r="D299" s="45"/>
      <c r="E299" s="45"/>
      <c r="F299" s="45"/>
    </row>
    <row r="300" spans="3:6" ht="15.75" customHeight="1" x14ac:dyDescent="0.2">
      <c r="C300" s="45"/>
      <c r="D300" s="45"/>
      <c r="E300" s="45"/>
      <c r="F300" s="45"/>
    </row>
    <row r="301" spans="3:6" ht="15.75" customHeight="1" x14ac:dyDescent="0.2">
      <c r="C301" s="45"/>
      <c r="D301" s="45"/>
      <c r="E301" s="45"/>
      <c r="F301" s="45"/>
    </row>
    <row r="302" spans="3:6" ht="15.75" customHeight="1" x14ac:dyDescent="0.2">
      <c r="C302" s="45"/>
      <c r="D302" s="45"/>
      <c r="E302" s="45"/>
      <c r="F302" s="45"/>
    </row>
    <row r="303" spans="3:6" ht="15.75" customHeight="1" x14ac:dyDescent="0.2">
      <c r="C303" s="45"/>
      <c r="D303" s="45"/>
      <c r="E303" s="45"/>
      <c r="F303" s="45"/>
    </row>
    <row r="304" spans="3:6" ht="15.75" customHeight="1" x14ac:dyDescent="0.2">
      <c r="C304" s="45"/>
      <c r="D304" s="45"/>
      <c r="E304" s="45"/>
      <c r="F304" s="45"/>
    </row>
    <row r="305" spans="3:6" ht="15.75" customHeight="1" x14ac:dyDescent="0.2">
      <c r="C305" s="45"/>
      <c r="D305" s="45"/>
      <c r="E305" s="45"/>
      <c r="F305" s="45"/>
    </row>
    <row r="306" spans="3:6" ht="15.75" customHeight="1" x14ac:dyDescent="0.2">
      <c r="C306" s="45"/>
      <c r="D306" s="45"/>
      <c r="E306" s="45"/>
      <c r="F306" s="45"/>
    </row>
    <row r="307" spans="3:6" ht="15.75" customHeight="1" x14ac:dyDescent="0.2">
      <c r="C307" s="45"/>
      <c r="D307" s="45"/>
      <c r="E307" s="45"/>
      <c r="F307" s="45"/>
    </row>
    <row r="308" spans="3:6" ht="15.75" customHeight="1" x14ac:dyDescent="0.2">
      <c r="C308" s="45"/>
      <c r="D308" s="45"/>
      <c r="E308" s="45"/>
      <c r="F308" s="45"/>
    </row>
    <row r="309" spans="3:6" ht="15.75" customHeight="1" x14ac:dyDescent="0.2">
      <c r="C309" s="45"/>
      <c r="D309" s="45"/>
      <c r="E309" s="45"/>
      <c r="F309" s="45"/>
    </row>
    <row r="310" spans="3:6" ht="15.75" customHeight="1" x14ac:dyDescent="0.2">
      <c r="C310" s="45"/>
      <c r="D310" s="45"/>
      <c r="E310" s="45"/>
      <c r="F310" s="45"/>
    </row>
    <row r="311" spans="3:6" ht="15.75" customHeight="1" x14ac:dyDescent="0.2">
      <c r="C311" s="45"/>
      <c r="D311" s="45"/>
      <c r="E311" s="45"/>
      <c r="F311" s="45"/>
    </row>
    <row r="312" spans="3:6" ht="15.75" customHeight="1" x14ac:dyDescent="0.2">
      <c r="C312" s="45"/>
      <c r="D312" s="45"/>
      <c r="E312" s="45"/>
      <c r="F312" s="45"/>
    </row>
    <row r="313" spans="3:6" ht="15.75" customHeight="1" x14ac:dyDescent="0.2">
      <c r="C313" s="45"/>
      <c r="D313" s="45"/>
      <c r="E313" s="45"/>
      <c r="F313" s="45"/>
    </row>
    <row r="314" spans="3:6" ht="15.75" customHeight="1" x14ac:dyDescent="0.2">
      <c r="C314" s="45"/>
      <c r="D314" s="45"/>
      <c r="E314" s="45"/>
      <c r="F314" s="45"/>
    </row>
    <row r="315" spans="3:6" ht="15.75" customHeight="1" x14ac:dyDescent="0.2">
      <c r="C315" s="45"/>
      <c r="D315" s="45"/>
      <c r="E315" s="45"/>
      <c r="F315" s="45"/>
    </row>
    <row r="316" spans="3:6" ht="15.75" customHeight="1" x14ac:dyDescent="0.2">
      <c r="C316" s="45"/>
      <c r="D316" s="45"/>
      <c r="E316" s="45"/>
      <c r="F316" s="45"/>
    </row>
    <row r="317" spans="3:6" ht="15.75" customHeight="1" x14ac:dyDescent="0.2">
      <c r="C317" s="45"/>
      <c r="D317" s="45"/>
      <c r="E317" s="45"/>
      <c r="F317" s="45"/>
    </row>
    <row r="318" spans="3:6" ht="15.75" customHeight="1" x14ac:dyDescent="0.2">
      <c r="C318" s="45"/>
      <c r="D318" s="45"/>
      <c r="E318" s="45"/>
      <c r="F318" s="45"/>
    </row>
    <row r="319" spans="3:6" ht="15.75" customHeight="1" x14ac:dyDescent="0.2">
      <c r="C319" s="45"/>
      <c r="D319" s="45"/>
      <c r="E319" s="45"/>
      <c r="F319" s="45"/>
    </row>
    <row r="320" spans="3:6" ht="15.75" customHeight="1" x14ac:dyDescent="0.2">
      <c r="C320" s="45"/>
      <c r="D320" s="45"/>
      <c r="E320" s="45"/>
      <c r="F320" s="45"/>
    </row>
    <row r="321" spans="3:6" ht="15.75" customHeight="1" x14ac:dyDescent="0.2">
      <c r="C321" s="45"/>
      <c r="D321" s="45"/>
      <c r="E321" s="45"/>
      <c r="F321" s="45"/>
    </row>
    <row r="322" spans="3:6" ht="15.75" customHeight="1" x14ac:dyDescent="0.2">
      <c r="C322" s="45"/>
      <c r="D322" s="45"/>
      <c r="E322" s="45"/>
      <c r="F322" s="45"/>
    </row>
    <row r="323" spans="3:6" ht="15.75" customHeight="1" x14ac:dyDescent="0.2">
      <c r="C323" s="45"/>
      <c r="D323" s="45"/>
      <c r="E323" s="45"/>
      <c r="F323" s="45"/>
    </row>
    <row r="324" spans="3:6" ht="15.75" customHeight="1" x14ac:dyDescent="0.2">
      <c r="C324" s="45"/>
      <c r="D324" s="45"/>
      <c r="E324" s="45"/>
      <c r="F324" s="45"/>
    </row>
    <row r="325" spans="3:6" ht="15.75" customHeight="1" x14ac:dyDescent="0.2">
      <c r="C325" s="45"/>
      <c r="D325" s="45"/>
      <c r="E325" s="45"/>
      <c r="F325" s="45"/>
    </row>
    <row r="326" spans="3:6" ht="15.75" customHeight="1" x14ac:dyDescent="0.2">
      <c r="C326" s="45"/>
      <c r="D326" s="45"/>
      <c r="E326" s="45"/>
      <c r="F326" s="45"/>
    </row>
    <row r="327" spans="3:6" ht="15.75" customHeight="1" x14ac:dyDescent="0.2">
      <c r="C327" s="45"/>
      <c r="D327" s="45"/>
      <c r="E327" s="45"/>
      <c r="F327" s="45"/>
    </row>
    <row r="328" spans="3:6" ht="15.75" customHeight="1" x14ac:dyDescent="0.2">
      <c r="C328" s="45"/>
      <c r="D328" s="45"/>
      <c r="E328" s="45"/>
      <c r="F328" s="45"/>
    </row>
    <row r="329" spans="3:6" ht="15.75" customHeight="1" x14ac:dyDescent="0.2">
      <c r="C329" s="45"/>
      <c r="D329" s="45"/>
      <c r="E329" s="45"/>
      <c r="F329" s="45"/>
    </row>
    <row r="330" spans="3:6" ht="15.75" customHeight="1" x14ac:dyDescent="0.2">
      <c r="C330" s="45"/>
      <c r="D330" s="45"/>
      <c r="E330" s="45"/>
      <c r="F330" s="45"/>
    </row>
    <row r="331" spans="3:6" ht="15.75" customHeight="1" x14ac:dyDescent="0.2">
      <c r="C331" s="45"/>
      <c r="D331" s="45"/>
      <c r="E331" s="45"/>
      <c r="F331" s="45"/>
    </row>
    <row r="332" spans="3:6" ht="15.75" customHeight="1" x14ac:dyDescent="0.2">
      <c r="C332" s="45"/>
      <c r="D332" s="45"/>
      <c r="E332" s="45"/>
      <c r="F332" s="45"/>
    </row>
    <row r="333" spans="3:6" ht="15.75" customHeight="1" x14ac:dyDescent="0.2">
      <c r="C333" s="45"/>
      <c r="D333" s="45"/>
      <c r="E333" s="45"/>
      <c r="F333" s="45"/>
    </row>
    <row r="334" spans="3:6" ht="15.75" customHeight="1" x14ac:dyDescent="0.2">
      <c r="C334" s="45"/>
      <c r="D334" s="45"/>
      <c r="E334" s="45"/>
      <c r="F334" s="45"/>
    </row>
    <row r="335" spans="3:6" ht="15.75" customHeight="1" x14ac:dyDescent="0.2">
      <c r="C335" s="45"/>
      <c r="D335" s="45"/>
      <c r="E335" s="45"/>
      <c r="F335" s="45"/>
    </row>
    <row r="336" spans="3:6" ht="15.75" customHeight="1" x14ac:dyDescent="0.2">
      <c r="C336" s="45"/>
      <c r="D336" s="45"/>
      <c r="E336" s="45"/>
      <c r="F336" s="45"/>
    </row>
    <row r="337" spans="3:6" ht="15.75" customHeight="1" x14ac:dyDescent="0.2">
      <c r="C337" s="45"/>
      <c r="D337" s="45"/>
      <c r="E337" s="45"/>
      <c r="F337" s="45"/>
    </row>
    <row r="338" spans="3:6" ht="15.75" customHeight="1" x14ac:dyDescent="0.2">
      <c r="C338" s="45"/>
      <c r="D338" s="45"/>
      <c r="E338" s="45"/>
      <c r="F338" s="45"/>
    </row>
    <row r="339" spans="3:6" ht="15.75" customHeight="1" x14ac:dyDescent="0.2">
      <c r="C339" s="45"/>
      <c r="D339" s="45"/>
      <c r="E339" s="45"/>
      <c r="F339" s="45"/>
    </row>
    <row r="340" spans="3:6" ht="15.75" customHeight="1" x14ac:dyDescent="0.2">
      <c r="C340" s="45"/>
      <c r="D340" s="45"/>
      <c r="E340" s="45"/>
      <c r="F340" s="45"/>
    </row>
    <row r="341" spans="3:6" ht="15.75" customHeight="1" x14ac:dyDescent="0.2">
      <c r="C341" s="45"/>
      <c r="D341" s="45"/>
      <c r="E341" s="45"/>
      <c r="F341" s="45"/>
    </row>
    <row r="342" spans="3:6" ht="15.75" customHeight="1" x14ac:dyDescent="0.2">
      <c r="C342" s="45"/>
      <c r="D342" s="45"/>
      <c r="E342" s="45"/>
      <c r="F342" s="45"/>
    </row>
    <row r="343" spans="3:6" ht="15.75" customHeight="1" x14ac:dyDescent="0.2">
      <c r="C343" s="45"/>
      <c r="D343" s="45"/>
      <c r="E343" s="45"/>
      <c r="F343" s="45"/>
    </row>
    <row r="344" spans="3:6" ht="15.75" customHeight="1" x14ac:dyDescent="0.2">
      <c r="C344" s="45"/>
      <c r="D344" s="45"/>
      <c r="E344" s="45"/>
      <c r="F344" s="45"/>
    </row>
    <row r="345" spans="3:6" ht="15.75" customHeight="1" x14ac:dyDescent="0.2">
      <c r="C345" s="45"/>
      <c r="D345" s="45"/>
      <c r="E345" s="45"/>
      <c r="F345" s="45"/>
    </row>
    <row r="346" spans="3:6" ht="15.75" customHeight="1" x14ac:dyDescent="0.2">
      <c r="C346" s="45"/>
      <c r="D346" s="45"/>
      <c r="E346" s="45"/>
      <c r="F346" s="45"/>
    </row>
    <row r="347" spans="3:6" ht="15.75" customHeight="1" x14ac:dyDescent="0.2">
      <c r="C347" s="45"/>
      <c r="D347" s="45"/>
      <c r="E347" s="45"/>
      <c r="F347" s="45"/>
    </row>
    <row r="348" spans="3:6" ht="15.75" customHeight="1" x14ac:dyDescent="0.2">
      <c r="C348" s="45"/>
      <c r="D348" s="45"/>
      <c r="E348" s="45"/>
      <c r="F348" s="45"/>
    </row>
    <row r="349" spans="3:6" ht="15.75" customHeight="1" x14ac:dyDescent="0.2">
      <c r="C349" s="45"/>
      <c r="D349" s="45"/>
      <c r="E349" s="45"/>
      <c r="F349" s="45"/>
    </row>
    <row r="350" spans="3:6" ht="15.75" customHeight="1" x14ac:dyDescent="0.2">
      <c r="C350" s="45"/>
      <c r="D350" s="45"/>
      <c r="E350" s="45"/>
      <c r="F350" s="45"/>
    </row>
    <row r="351" spans="3:6" ht="15.75" customHeight="1" x14ac:dyDescent="0.2">
      <c r="C351" s="45"/>
      <c r="D351" s="45"/>
      <c r="E351" s="45"/>
      <c r="F351" s="45"/>
    </row>
    <row r="352" spans="3:6" ht="15.75" customHeight="1" x14ac:dyDescent="0.2">
      <c r="C352" s="45"/>
      <c r="D352" s="45"/>
      <c r="E352" s="45"/>
      <c r="F352" s="45"/>
    </row>
    <row r="353" spans="3:6" ht="15.75" customHeight="1" x14ac:dyDescent="0.2">
      <c r="C353" s="45"/>
      <c r="D353" s="45"/>
      <c r="E353" s="45"/>
      <c r="F353" s="45"/>
    </row>
    <row r="354" spans="3:6" ht="15.75" customHeight="1" x14ac:dyDescent="0.2">
      <c r="C354" s="45"/>
      <c r="D354" s="45"/>
      <c r="E354" s="45"/>
      <c r="F354" s="45"/>
    </row>
    <row r="355" spans="3:6" ht="15.75" customHeight="1" x14ac:dyDescent="0.2">
      <c r="C355" s="45"/>
      <c r="D355" s="45"/>
      <c r="E355" s="45"/>
      <c r="F355" s="45"/>
    </row>
    <row r="356" spans="3:6" ht="15.75" customHeight="1" x14ac:dyDescent="0.2">
      <c r="C356" s="45"/>
      <c r="D356" s="45"/>
      <c r="E356" s="45"/>
      <c r="F356" s="45"/>
    </row>
    <row r="357" spans="3:6" ht="15.75" customHeight="1" x14ac:dyDescent="0.2">
      <c r="C357" s="45"/>
      <c r="D357" s="45"/>
      <c r="E357" s="45"/>
      <c r="F357" s="45"/>
    </row>
    <row r="358" spans="3:6" ht="15.75" customHeight="1" x14ac:dyDescent="0.2">
      <c r="C358" s="45"/>
      <c r="D358" s="45"/>
      <c r="E358" s="45"/>
      <c r="F358" s="45"/>
    </row>
    <row r="359" spans="3:6" ht="15.75" customHeight="1" x14ac:dyDescent="0.2">
      <c r="C359" s="45"/>
      <c r="D359" s="45"/>
      <c r="E359" s="45"/>
      <c r="F359" s="45"/>
    </row>
    <row r="360" spans="3:6" ht="15.75" customHeight="1" x14ac:dyDescent="0.2">
      <c r="C360" s="45"/>
      <c r="D360" s="45"/>
      <c r="E360" s="45"/>
      <c r="F360" s="45"/>
    </row>
    <row r="361" spans="3:6" ht="15.75" customHeight="1" x14ac:dyDescent="0.2">
      <c r="C361" s="45"/>
      <c r="D361" s="45"/>
      <c r="E361" s="45"/>
      <c r="F361" s="45"/>
    </row>
    <row r="362" spans="3:6" ht="15.75" customHeight="1" x14ac:dyDescent="0.2">
      <c r="C362" s="45"/>
      <c r="D362" s="45"/>
      <c r="E362" s="45"/>
      <c r="F362" s="45"/>
    </row>
    <row r="363" spans="3:6" ht="15.75" customHeight="1" x14ac:dyDescent="0.2">
      <c r="C363" s="45"/>
      <c r="D363" s="45"/>
      <c r="E363" s="45"/>
      <c r="F363" s="45"/>
    </row>
    <row r="364" spans="3:6" ht="15.75" customHeight="1" x14ac:dyDescent="0.2">
      <c r="C364" s="45"/>
      <c r="D364" s="45"/>
      <c r="E364" s="45"/>
      <c r="F364" s="45"/>
    </row>
    <row r="365" spans="3:6" ht="15.75" customHeight="1" x14ac:dyDescent="0.2">
      <c r="C365" s="45"/>
      <c r="D365" s="45"/>
      <c r="E365" s="45"/>
      <c r="F365" s="45"/>
    </row>
    <row r="366" spans="3:6" ht="15.75" customHeight="1" x14ac:dyDescent="0.2">
      <c r="C366" s="45"/>
      <c r="D366" s="45"/>
      <c r="E366" s="45"/>
      <c r="F366" s="45"/>
    </row>
    <row r="367" spans="3:6" ht="15.75" customHeight="1" x14ac:dyDescent="0.2">
      <c r="C367" s="45"/>
      <c r="D367" s="45"/>
      <c r="E367" s="45"/>
      <c r="F367" s="45"/>
    </row>
    <row r="368" spans="3:6" ht="15.75" customHeight="1" x14ac:dyDescent="0.2">
      <c r="C368" s="45"/>
      <c r="D368" s="45"/>
      <c r="E368" s="45"/>
      <c r="F368" s="45"/>
    </row>
    <row r="369" spans="3:6" ht="15.75" customHeight="1" x14ac:dyDescent="0.2">
      <c r="C369" s="45"/>
      <c r="D369" s="45"/>
      <c r="E369" s="45"/>
      <c r="F369" s="45"/>
    </row>
    <row r="370" spans="3:6" ht="15.75" customHeight="1" x14ac:dyDescent="0.2">
      <c r="C370" s="45"/>
      <c r="D370" s="45"/>
      <c r="E370" s="45"/>
      <c r="F370" s="45"/>
    </row>
    <row r="371" spans="3:6" ht="15.75" customHeight="1" x14ac:dyDescent="0.2">
      <c r="C371" s="45"/>
      <c r="D371" s="45"/>
      <c r="E371" s="45"/>
      <c r="F371" s="45"/>
    </row>
    <row r="372" spans="3:6" ht="15.75" customHeight="1" x14ac:dyDescent="0.2">
      <c r="C372" s="45"/>
      <c r="D372" s="45"/>
      <c r="E372" s="45"/>
      <c r="F372" s="45"/>
    </row>
    <row r="373" spans="3:6" ht="15.75" customHeight="1" x14ac:dyDescent="0.2">
      <c r="C373" s="45"/>
      <c r="D373" s="45"/>
      <c r="E373" s="45"/>
      <c r="F373" s="45"/>
    </row>
    <row r="374" spans="3:6" ht="15.75" customHeight="1" x14ac:dyDescent="0.2">
      <c r="C374" s="45"/>
      <c r="D374" s="45"/>
      <c r="E374" s="45"/>
      <c r="F374" s="45"/>
    </row>
    <row r="375" spans="3:6" ht="15.75" customHeight="1" x14ac:dyDescent="0.2">
      <c r="C375" s="45"/>
      <c r="D375" s="45"/>
      <c r="E375" s="45"/>
      <c r="F375" s="45"/>
    </row>
    <row r="376" spans="3:6" ht="15.75" customHeight="1" x14ac:dyDescent="0.2">
      <c r="C376" s="45"/>
      <c r="D376" s="45"/>
      <c r="E376" s="45"/>
      <c r="F376" s="45"/>
    </row>
    <row r="377" spans="3:6" ht="15.75" customHeight="1" x14ac:dyDescent="0.2">
      <c r="C377" s="45"/>
      <c r="D377" s="45"/>
      <c r="E377" s="45"/>
      <c r="F377" s="45"/>
    </row>
    <row r="378" spans="3:6" ht="15.75" customHeight="1" x14ac:dyDescent="0.2">
      <c r="C378" s="45"/>
      <c r="D378" s="45"/>
      <c r="E378" s="45"/>
      <c r="F378" s="45"/>
    </row>
    <row r="379" spans="3:6" ht="15.75" customHeight="1" x14ac:dyDescent="0.2">
      <c r="C379" s="45"/>
      <c r="D379" s="45"/>
      <c r="E379" s="45"/>
      <c r="F379" s="45"/>
    </row>
    <row r="380" spans="3:6" ht="15.75" customHeight="1" x14ac:dyDescent="0.2">
      <c r="C380" s="45"/>
      <c r="D380" s="45"/>
      <c r="E380" s="45"/>
      <c r="F380" s="45"/>
    </row>
    <row r="381" spans="3:6" ht="15.75" customHeight="1" x14ac:dyDescent="0.2">
      <c r="C381" s="45"/>
      <c r="D381" s="45"/>
      <c r="E381" s="45"/>
      <c r="F381" s="45"/>
    </row>
    <row r="382" spans="3:6" ht="15.75" customHeight="1" x14ac:dyDescent="0.2">
      <c r="C382" s="45"/>
      <c r="D382" s="45"/>
      <c r="E382" s="45"/>
      <c r="F382" s="45"/>
    </row>
    <row r="383" spans="3:6" ht="15.75" customHeight="1" x14ac:dyDescent="0.2">
      <c r="C383" s="45"/>
      <c r="D383" s="45"/>
      <c r="E383" s="45"/>
      <c r="F383" s="45"/>
    </row>
    <row r="384" spans="3:6" ht="15.75" customHeight="1" x14ac:dyDescent="0.2">
      <c r="C384" s="45"/>
      <c r="D384" s="45"/>
      <c r="E384" s="45"/>
      <c r="F384" s="45"/>
    </row>
    <row r="385" spans="3:6" ht="15.75" customHeight="1" x14ac:dyDescent="0.2">
      <c r="C385" s="45"/>
      <c r="D385" s="45"/>
      <c r="E385" s="45"/>
      <c r="F385" s="45"/>
    </row>
    <row r="386" spans="3:6" ht="15.75" customHeight="1" x14ac:dyDescent="0.2">
      <c r="C386" s="45"/>
      <c r="D386" s="45"/>
      <c r="E386" s="45"/>
      <c r="F386" s="45"/>
    </row>
    <row r="387" spans="3:6" ht="15.75" customHeight="1" x14ac:dyDescent="0.2">
      <c r="C387" s="45"/>
      <c r="D387" s="45"/>
      <c r="E387" s="45"/>
      <c r="F387" s="45"/>
    </row>
    <row r="388" spans="3:6" ht="15.75" customHeight="1" x14ac:dyDescent="0.2">
      <c r="C388" s="45"/>
      <c r="D388" s="45"/>
      <c r="E388" s="45"/>
      <c r="F388" s="45"/>
    </row>
    <row r="389" spans="3:6" ht="15.75" customHeight="1" x14ac:dyDescent="0.2">
      <c r="C389" s="45"/>
      <c r="D389" s="45"/>
      <c r="E389" s="45"/>
      <c r="F389" s="45"/>
    </row>
    <row r="390" spans="3:6" ht="15.75" customHeight="1" x14ac:dyDescent="0.2">
      <c r="C390" s="45"/>
      <c r="D390" s="45"/>
      <c r="E390" s="45"/>
      <c r="F390" s="45"/>
    </row>
    <row r="391" spans="3:6" ht="15.75" customHeight="1" x14ac:dyDescent="0.2">
      <c r="C391" s="45"/>
      <c r="D391" s="45"/>
      <c r="E391" s="45"/>
      <c r="F391" s="45"/>
    </row>
    <row r="392" spans="3:6" ht="15.75" customHeight="1" x14ac:dyDescent="0.2">
      <c r="C392" s="45"/>
      <c r="D392" s="45"/>
      <c r="E392" s="45"/>
      <c r="F392" s="45"/>
    </row>
    <row r="393" spans="3:6" ht="15.75" customHeight="1" x14ac:dyDescent="0.2">
      <c r="C393" s="45"/>
      <c r="D393" s="45"/>
      <c r="E393" s="45"/>
      <c r="F393" s="45"/>
    </row>
    <row r="394" spans="3:6" ht="15.75" customHeight="1" x14ac:dyDescent="0.2">
      <c r="C394" s="45"/>
      <c r="D394" s="45"/>
      <c r="E394" s="45"/>
      <c r="F394" s="45"/>
    </row>
    <row r="395" spans="3:6" ht="15.75" customHeight="1" x14ac:dyDescent="0.2">
      <c r="C395" s="45"/>
      <c r="D395" s="45"/>
      <c r="E395" s="45"/>
      <c r="F395" s="45"/>
    </row>
    <row r="396" spans="3:6" ht="15.75" customHeight="1" x14ac:dyDescent="0.2">
      <c r="C396" s="45"/>
      <c r="D396" s="45"/>
      <c r="E396" s="45"/>
      <c r="F396" s="45"/>
    </row>
    <row r="397" spans="3:6" ht="15.75" customHeight="1" x14ac:dyDescent="0.2">
      <c r="C397" s="45"/>
      <c r="D397" s="45"/>
      <c r="E397" s="45"/>
      <c r="F397" s="45"/>
    </row>
    <row r="398" spans="3:6" ht="15.75" customHeight="1" x14ac:dyDescent="0.2">
      <c r="C398" s="45"/>
      <c r="D398" s="45"/>
      <c r="E398" s="45"/>
      <c r="F398" s="45"/>
    </row>
    <row r="399" spans="3:6" ht="15.75" customHeight="1" x14ac:dyDescent="0.2">
      <c r="C399" s="45"/>
      <c r="D399" s="45"/>
      <c r="E399" s="45"/>
      <c r="F399" s="45"/>
    </row>
    <row r="400" spans="3:6" ht="15.75" customHeight="1" x14ac:dyDescent="0.2">
      <c r="C400" s="45"/>
      <c r="D400" s="45"/>
      <c r="E400" s="45"/>
      <c r="F400" s="45"/>
    </row>
    <row r="401" spans="3:6" ht="15.75" customHeight="1" x14ac:dyDescent="0.2">
      <c r="C401" s="45"/>
      <c r="D401" s="45"/>
      <c r="E401" s="45"/>
      <c r="F401" s="45"/>
    </row>
    <row r="402" spans="3:6" ht="15.75" customHeight="1" x14ac:dyDescent="0.2">
      <c r="C402" s="45"/>
      <c r="D402" s="45"/>
      <c r="E402" s="45"/>
      <c r="F402" s="45"/>
    </row>
    <row r="403" spans="3:6" ht="15.75" customHeight="1" x14ac:dyDescent="0.2">
      <c r="C403" s="45"/>
      <c r="D403" s="45"/>
      <c r="E403" s="45"/>
      <c r="F403" s="45"/>
    </row>
    <row r="404" spans="3:6" ht="15.75" customHeight="1" x14ac:dyDescent="0.2">
      <c r="C404" s="45"/>
      <c r="D404" s="45"/>
      <c r="E404" s="45"/>
      <c r="F404" s="45"/>
    </row>
    <row r="405" spans="3:6" ht="15.75" customHeight="1" x14ac:dyDescent="0.2">
      <c r="C405" s="45"/>
      <c r="D405" s="45"/>
      <c r="E405" s="45"/>
      <c r="F405" s="45"/>
    </row>
    <row r="406" spans="3:6" ht="15.75" customHeight="1" x14ac:dyDescent="0.2">
      <c r="C406" s="45"/>
      <c r="D406" s="45"/>
      <c r="E406" s="45"/>
      <c r="F406" s="45"/>
    </row>
    <row r="407" spans="3:6" ht="15.75" customHeight="1" x14ac:dyDescent="0.2">
      <c r="C407" s="45"/>
      <c r="D407" s="45"/>
      <c r="E407" s="45"/>
      <c r="F407" s="45"/>
    </row>
    <row r="408" spans="3:6" ht="15.75" customHeight="1" x14ac:dyDescent="0.2">
      <c r="C408" s="45"/>
      <c r="D408" s="45"/>
      <c r="E408" s="45"/>
      <c r="F408" s="45"/>
    </row>
    <row r="409" spans="3:6" ht="15.75" customHeight="1" x14ac:dyDescent="0.2">
      <c r="C409" s="45"/>
      <c r="D409" s="45"/>
      <c r="E409" s="45"/>
      <c r="F409" s="45"/>
    </row>
    <row r="410" spans="3:6" ht="15.75" customHeight="1" x14ac:dyDescent="0.2">
      <c r="C410" s="45"/>
      <c r="D410" s="45"/>
      <c r="E410" s="45"/>
      <c r="F410" s="45"/>
    </row>
    <row r="411" spans="3:6" ht="15.75" customHeight="1" x14ac:dyDescent="0.2">
      <c r="C411" s="45"/>
      <c r="D411" s="45"/>
      <c r="E411" s="45"/>
      <c r="F411" s="45"/>
    </row>
    <row r="412" spans="3:6" ht="15.75" customHeight="1" x14ac:dyDescent="0.2">
      <c r="C412" s="45"/>
      <c r="D412" s="45"/>
      <c r="E412" s="45"/>
      <c r="F412" s="45"/>
    </row>
    <row r="413" spans="3:6" ht="15.75" customHeight="1" x14ac:dyDescent="0.2">
      <c r="C413" s="45"/>
      <c r="D413" s="45"/>
      <c r="E413" s="45"/>
      <c r="F413" s="45"/>
    </row>
    <row r="414" spans="3:6" ht="15.75" customHeight="1" x14ac:dyDescent="0.2">
      <c r="C414" s="45"/>
      <c r="D414" s="45"/>
      <c r="E414" s="45"/>
      <c r="F414" s="45"/>
    </row>
    <row r="415" spans="3:6" ht="15.75" customHeight="1" x14ac:dyDescent="0.2">
      <c r="C415" s="45"/>
      <c r="D415" s="45"/>
      <c r="E415" s="45"/>
      <c r="F415" s="45"/>
    </row>
    <row r="416" spans="3:6" ht="15.75" customHeight="1" x14ac:dyDescent="0.2">
      <c r="C416" s="45"/>
      <c r="D416" s="45"/>
      <c r="E416" s="45"/>
      <c r="F416" s="45"/>
    </row>
    <row r="417" spans="3:6" ht="15.75" customHeight="1" x14ac:dyDescent="0.2">
      <c r="C417" s="45"/>
      <c r="D417" s="45"/>
      <c r="E417" s="45"/>
      <c r="F417" s="45"/>
    </row>
    <row r="418" spans="3:6" ht="15.75" customHeight="1" x14ac:dyDescent="0.2">
      <c r="C418" s="45"/>
      <c r="D418" s="45"/>
      <c r="E418" s="45"/>
      <c r="F418" s="45"/>
    </row>
    <row r="419" spans="3:6" ht="15.75" customHeight="1" x14ac:dyDescent="0.2">
      <c r="C419" s="45"/>
      <c r="D419" s="45"/>
      <c r="E419" s="45"/>
      <c r="F419" s="45"/>
    </row>
    <row r="420" spans="3:6" ht="15.75" customHeight="1" x14ac:dyDescent="0.2">
      <c r="C420" s="45"/>
      <c r="D420" s="45"/>
      <c r="E420" s="45"/>
      <c r="F420" s="45"/>
    </row>
    <row r="421" spans="3:6" ht="15.75" customHeight="1" x14ac:dyDescent="0.2">
      <c r="C421" s="45"/>
      <c r="D421" s="45"/>
      <c r="E421" s="45"/>
      <c r="F421" s="45"/>
    </row>
    <row r="422" spans="3:6" ht="15.75" customHeight="1" x14ac:dyDescent="0.2">
      <c r="C422" s="45"/>
      <c r="D422" s="45"/>
      <c r="E422" s="45"/>
      <c r="F422" s="45"/>
    </row>
    <row r="423" spans="3:6" ht="15.75" customHeight="1" x14ac:dyDescent="0.2">
      <c r="C423" s="45"/>
      <c r="D423" s="45"/>
      <c r="E423" s="45"/>
      <c r="F423" s="45"/>
    </row>
    <row r="424" spans="3:6" ht="15.75" customHeight="1" x14ac:dyDescent="0.2">
      <c r="C424" s="45"/>
      <c r="D424" s="45"/>
      <c r="E424" s="45"/>
      <c r="F424" s="45"/>
    </row>
    <row r="425" spans="3:6" ht="15.75" customHeight="1" x14ac:dyDescent="0.2">
      <c r="C425" s="45"/>
      <c r="D425" s="45"/>
      <c r="E425" s="45"/>
      <c r="F425" s="45"/>
    </row>
    <row r="426" spans="3:6" ht="15.75" customHeight="1" x14ac:dyDescent="0.2">
      <c r="C426" s="45"/>
      <c r="D426" s="45"/>
      <c r="E426" s="45"/>
      <c r="F426" s="45"/>
    </row>
    <row r="427" spans="3:6" ht="15.75" customHeight="1" x14ac:dyDescent="0.2">
      <c r="C427" s="45"/>
      <c r="D427" s="45"/>
      <c r="E427" s="45"/>
      <c r="F427" s="45"/>
    </row>
    <row r="428" spans="3:6" ht="15.75" customHeight="1" x14ac:dyDescent="0.2">
      <c r="C428" s="45"/>
      <c r="D428" s="45"/>
      <c r="E428" s="45"/>
      <c r="F428" s="45"/>
    </row>
    <row r="429" spans="3:6" ht="15.75" customHeight="1" x14ac:dyDescent="0.2">
      <c r="C429" s="45"/>
      <c r="D429" s="45"/>
      <c r="E429" s="45"/>
      <c r="F429" s="45"/>
    </row>
    <row r="430" spans="3:6" ht="15.75" customHeight="1" x14ac:dyDescent="0.2">
      <c r="C430" s="45"/>
      <c r="D430" s="45"/>
      <c r="E430" s="45"/>
      <c r="F430" s="45"/>
    </row>
    <row r="431" spans="3:6" ht="15.75" customHeight="1" x14ac:dyDescent="0.2">
      <c r="C431" s="45"/>
      <c r="D431" s="45"/>
      <c r="E431" s="45"/>
      <c r="F431" s="45"/>
    </row>
    <row r="432" spans="3:6" ht="15.75" customHeight="1" x14ac:dyDescent="0.2">
      <c r="C432" s="45"/>
      <c r="D432" s="45"/>
      <c r="E432" s="45"/>
      <c r="F432" s="45"/>
    </row>
    <row r="433" spans="3:6" ht="15.75" customHeight="1" x14ac:dyDescent="0.2">
      <c r="C433" s="45"/>
      <c r="D433" s="45"/>
      <c r="E433" s="45"/>
      <c r="F433" s="45"/>
    </row>
    <row r="434" spans="3:6" ht="15.75" customHeight="1" x14ac:dyDescent="0.2">
      <c r="C434" s="45"/>
      <c r="D434" s="45"/>
      <c r="E434" s="45"/>
      <c r="F434" s="45"/>
    </row>
    <row r="435" spans="3:6" ht="15.75" customHeight="1" x14ac:dyDescent="0.2">
      <c r="C435" s="45"/>
      <c r="D435" s="45"/>
      <c r="E435" s="45"/>
      <c r="F435" s="45"/>
    </row>
    <row r="436" spans="3:6" ht="15.75" customHeight="1" x14ac:dyDescent="0.2">
      <c r="C436" s="45"/>
      <c r="D436" s="45"/>
      <c r="E436" s="45"/>
      <c r="F436" s="45"/>
    </row>
    <row r="437" spans="3:6" ht="15.75" customHeight="1" x14ac:dyDescent="0.2">
      <c r="C437" s="45"/>
      <c r="D437" s="45"/>
      <c r="E437" s="45"/>
      <c r="F437" s="45"/>
    </row>
    <row r="438" spans="3:6" ht="15.75" customHeight="1" x14ac:dyDescent="0.2">
      <c r="C438" s="45"/>
      <c r="D438" s="45"/>
      <c r="E438" s="45"/>
      <c r="F438" s="45"/>
    </row>
    <row r="439" spans="3:6" ht="15.75" customHeight="1" x14ac:dyDescent="0.2">
      <c r="C439" s="45"/>
      <c r="D439" s="45"/>
      <c r="E439" s="45"/>
      <c r="F439" s="45"/>
    </row>
    <row r="440" spans="3:6" ht="15.75" customHeight="1" x14ac:dyDescent="0.2">
      <c r="C440" s="45"/>
      <c r="D440" s="45"/>
      <c r="E440" s="45"/>
      <c r="F440" s="45"/>
    </row>
    <row r="441" spans="3:6" ht="15.75" customHeight="1" x14ac:dyDescent="0.2">
      <c r="C441" s="45"/>
      <c r="D441" s="45"/>
      <c r="E441" s="45"/>
      <c r="F441" s="45"/>
    </row>
    <row r="442" spans="3:6" ht="15.75" customHeight="1" x14ac:dyDescent="0.2">
      <c r="C442" s="45"/>
      <c r="D442" s="45"/>
      <c r="E442" s="45"/>
      <c r="F442" s="45"/>
    </row>
    <row r="443" spans="3:6" ht="15.75" customHeight="1" x14ac:dyDescent="0.2">
      <c r="C443" s="45"/>
      <c r="D443" s="45"/>
      <c r="E443" s="45"/>
      <c r="F443" s="45"/>
    </row>
    <row r="444" spans="3:6" ht="15.75" customHeight="1" x14ac:dyDescent="0.2">
      <c r="C444" s="45"/>
      <c r="D444" s="45"/>
      <c r="E444" s="45"/>
      <c r="F444" s="45"/>
    </row>
    <row r="445" spans="3:6" ht="15.75" customHeight="1" x14ac:dyDescent="0.2">
      <c r="C445" s="45"/>
      <c r="D445" s="45"/>
      <c r="E445" s="45"/>
      <c r="F445" s="45"/>
    </row>
    <row r="446" spans="3:6" ht="15.75" customHeight="1" x14ac:dyDescent="0.2">
      <c r="C446" s="45"/>
      <c r="D446" s="45"/>
      <c r="E446" s="45"/>
      <c r="F446" s="45"/>
    </row>
    <row r="447" spans="3:6" ht="15.75" customHeight="1" x14ac:dyDescent="0.2">
      <c r="C447" s="45"/>
      <c r="D447" s="45"/>
      <c r="E447" s="45"/>
      <c r="F447" s="45"/>
    </row>
    <row r="448" spans="3:6" ht="15.75" customHeight="1" x14ac:dyDescent="0.2">
      <c r="C448" s="45"/>
      <c r="D448" s="45"/>
      <c r="E448" s="45"/>
      <c r="F448" s="45"/>
    </row>
    <row r="449" spans="3:6" ht="15.75" customHeight="1" x14ac:dyDescent="0.2">
      <c r="C449" s="45"/>
      <c r="D449" s="45"/>
      <c r="E449" s="45"/>
      <c r="F449" s="45"/>
    </row>
    <row r="450" spans="3:6" ht="15.75" customHeight="1" x14ac:dyDescent="0.2">
      <c r="C450" s="45"/>
      <c r="D450" s="45"/>
      <c r="E450" s="45"/>
      <c r="F450" s="45"/>
    </row>
    <row r="451" spans="3:6" ht="15.75" customHeight="1" x14ac:dyDescent="0.2">
      <c r="C451" s="45"/>
      <c r="D451" s="45"/>
      <c r="E451" s="45"/>
      <c r="F451" s="45"/>
    </row>
    <row r="452" spans="3:6" ht="15.75" customHeight="1" x14ac:dyDescent="0.2">
      <c r="C452" s="45"/>
      <c r="D452" s="45"/>
      <c r="E452" s="45"/>
      <c r="F452" s="45"/>
    </row>
    <row r="453" spans="3:6" ht="15.75" customHeight="1" x14ac:dyDescent="0.2">
      <c r="C453" s="45"/>
      <c r="D453" s="45"/>
      <c r="E453" s="45"/>
      <c r="F453" s="45"/>
    </row>
    <row r="454" spans="3:6" ht="15.75" customHeight="1" x14ac:dyDescent="0.2">
      <c r="C454" s="45"/>
      <c r="D454" s="45"/>
      <c r="E454" s="45"/>
      <c r="F454" s="45"/>
    </row>
    <row r="455" spans="3:6" ht="15.75" customHeight="1" x14ac:dyDescent="0.2">
      <c r="C455" s="45"/>
      <c r="D455" s="45"/>
      <c r="E455" s="45"/>
      <c r="F455" s="45"/>
    </row>
    <row r="456" spans="3:6" ht="15.75" customHeight="1" x14ac:dyDescent="0.2">
      <c r="C456" s="45"/>
      <c r="D456" s="45"/>
      <c r="E456" s="45"/>
      <c r="F456" s="45"/>
    </row>
    <row r="457" spans="3:6" ht="15.75" customHeight="1" x14ac:dyDescent="0.2">
      <c r="C457" s="45"/>
      <c r="D457" s="45"/>
      <c r="E457" s="45"/>
      <c r="F457" s="45"/>
    </row>
    <row r="458" spans="3:6" ht="15.75" customHeight="1" x14ac:dyDescent="0.2">
      <c r="C458" s="45"/>
      <c r="D458" s="45"/>
      <c r="E458" s="45"/>
      <c r="F458" s="45"/>
    </row>
    <row r="459" spans="3:6" ht="15.75" customHeight="1" x14ac:dyDescent="0.2">
      <c r="C459" s="45"/>
      <c r="D459" s="45"/>
      <c r="E459" s="45"/>
      <c r="F459" s="45"/>
    </row>
    <row r="460" spans="3:6" ht="15.75" customHeight="1" x14ac:dyDescent="0.2">
      <c r="C460" s="45"/>
      <c r="D460" s="45"/>
      <c r="E460" s="45"/>
      <c r="F460" s="45"/>
    </row>
    <row r="461" spans="3:6" ht="15.75" customHeight="1" x14ac:dyDescent="0.2">
      <c r="C461" s="45"/>
      <c r="D461" s="45"/>
      <c r="E461" s="45"/>
      <c r="F461" s="45"/>
    </row>
    <row r="462" spans="3:6" ht="15.75" customHeight="1" x14ac:dyDescent="0.2">
      <c r="C462" s="45"/>
      <c r="D462" s="45"/>
      <c r="E462" s="45"/>
      <c r="F462" s="45"/>
    </row>
    <row r="463" spans="3:6" ht="15.75" customHeight="1" x14ac:dyDescent="0.2">
      <c r="C463" s="45"/>
      <c r="D463" s="45"/>
      <c r="E463" s="45"/>
      <c r="F463" s="45"/>
    </row>
    <row r="464" spans="3:6" ht="15.75" customHeight="1" x14ac:dyDescent="0.2">
      <c r="C464" s="45"/>
      <c r="D464" s="45"/>
      <c r="E464" s="45"/>
      <c r="F464" s="45"/>
    </row>
    <row r="465" spans="3:6" ht="15.75" customHeight="1" x14ac:dyDescent="0.2">
      <c r="C465" s="45"/>
      <c r="D465" s="45"/>
      <c r="E465" s="45"/>
      <c r="F465" s="45"/>
    </row>
    <row r="466" spans="3:6" ht="15.75" customHeight="1" x14ac:dyDescent="0.2">
      <c r="C466" s="45"/>
      <c r="D466" s="45"/>
      <c r="E466" s="45"/>
      <c r="F466" s="45"/>
    </row>
    <row r="467" spans="3:6" ht="15.75" customHeight="1" x14ac:dyDescent="0.2">
      <c r="C467" s="45"/>
      <c r="D467" s="45"/>
      <c r="E467" s="45"/>
      <c r="F467" s="45"/>
    </row>
    <row r="468" spans="3:6" ht="15.75" customHeight="1" x14ac:dyDescent="0.2">
      <c r="C468" s="45"/>
      <c r="D468" s="45"/>
      <c r="E468" s="45"/>
      <c r="F468" s="45"/>
    </row>
    <row r="469" spans="3:6" ht="15.75" customHeight="1" x14ac:dyDescent="0.2">
      <c r="C469" s="45"/>
      <c r="D469" s="45"/>
      <c r="E469" s="45"/>
      <c r="F469" s="45"/>
    </row>
    <row r="470" spans="3:6" ht="15.75" customHeight="1" x14ac:dyDescent="0.2">
      <c r="C470" s="45"/>
      <c r="D470" s="45"/>
      <c r="E470" s="45"/>
      <c r="F470" s="45"/>
    </row>
    <row r="471" spans="3:6" ht="15.75" customHeight="1" x14ac:dyDescent="0.2">
      <c r="C471" s="45"/>
      <c r="D471" s="45"/>
      <c r="E471" s="45"/>
      <c r="F471" s="45"/>
    </row>
    <row r="472" spans="3:6" ht="15.75" customHeight="1" x14ac:dyDescent="0.2">
      <c r="C472" s="45"/>
      <c r="D472" s="45"/>
      <c r="E472" s="45"/>
      <c r="F472" s="45"/>
    </row>
    <row r="473" spans="3:6" ht="15.75" customHeight="1" x14ac:dyDescent="0.2">
      <c r="C473" s="45"/>
      <c r="D473" s="45"/>
      <c r="E473" s="45"/>
      <c r="F473" s="45"/>
    </row>
    <row r="474" spans="3:6" ht="15.75" customHeight="1" x14ac:dyDescent="0.2">
      <c r="C474" s="45"/>
      <c r="D474" s="45"/>
      <c r="E474" s="45"/>
      <c r="F474" s="45"/>
    </row>
    <row r="475" spans="3:6" ht="15.75" customHeight="1" x14ac:dyDescent="0.2">
      <c r="C475" s="45"/>
      <c r="D475" s="45"/>
      <c r="E475" s="45"/>
      <c r="F475" s="45"/>
    </row>
    <row r="476" spans="3:6" ht="15.75" customHeight="1" x14ac:dyDescent="0.2">
      <c r="C476" s="45"/>
      <c r="D476" s="45"/>
      <c r="E476" s="45"/>
      <c r="F476" s="45"/>
    </row>
    <row r="477" spans="3:6" ht="15.75" customHeight="1" x14ac:dyDescent="0.2">
      <c r="C477" s="45"/>
      <c r="D477" s="45"/>
      <c r="E477" s="45"/>
      <c r="F477" s="45"/>
    </row>
    <row r="478" spans="3:6" ht="15.75" customHeight="1" x14ac:dyDescent="0.2">
      <c r="C478" s="45"/>
      <c r="D478" s="45"/>
      <c r="E478" s="45"/>
      <c r="F478" s="45"/>
    </row>
    <row r="479" spans="3:6" ht="15.75" customHeight="1" x14ac:dyDescent="0.2">
      <c r="C479" s="45"/>
      <c r="D479" s="45"/>
      <c r="E479" s="45"/>
      <c r="F479" s="45"/>
    </row>
    <row r="480" spans="3:6" ht="15.75" customHeight="1" x14ac:dyDescent="0.2">
      <c r="C480" s="45"/>
      <c r="D480" s="45"/>
      <c r="E480" s="45"/>
      <c r="F480" s="45"/>
    </row>
    <row r="481" spans="3:6" ht="15.75" customHeight="1" x14ac:dyDescent="0.2">
      <c r="C481" s="45"/>
      <c r="D481" s="45"/>
      <c r="E481" s="45"/>
      <c r="F481" s="45"/>
    </row>
    <row r="482" spans="3:6" ht="15.75" customHeight="1" x14ac:dyDescent="0.2">
      <c r="C482" s="45"/>
      <c r="D482" s="45"/>
      <c r="E482" s="45"/>
      <c r="F482" s="45"/>
    </row>
    <row r="483" spans="3:6" ht="15.75" customHeight="1" x14ac:dyDescent="0.2">
      <c r="C483" s="45"/>
      <c r="D483" s="45"/>
      <c r="E483" s="45"/>
      <c r="F483" s="45"/>
    </row>
    <row r="484" spans="3:6" ht="15.75" customHeight="1" x14ac:dyDescent="0.2">
      <c r="C484" s="45"/>
      <c r="D484" s="45"/>
      <c r="E484" s="45"/>
      <c r="F484" s="45"/>
    </row>
    <row r="485" spans="3:6" ht="15.75" customHeight="1" x14ac:dyDescent="0.2">
      <c r="C485" s="45"/>
      <c r="D485" s="45"/>
      <c r="E485" s="45"/>
      <c r="F485" s="45"/>
    </row>
    <row r="486" spans="3:6" ht="15.75" customHeight="1" x14ac:dyDescent="0.2">
      <c r="C486" s="45"/>
      <c r="D486" s="45"/>
      <c r="E486" s="45"/>
      <c r="F486" s="45"/>
    </row>
    <row r="487" spans="3:6" ht="15.75" customHeight="1" x14ac:dyDescent="0.2">
      <c r="C487" s="45"/>
      <c r="D487" s="45"/>
      <c r="E487" s="45"/>
      <c r="F487" s="45"/>
    </row>
    <row r="488" spans="3:6" ht="15.75" customHeight="1" x14ac:dyDescent="0.2">
      <c r="C488" s="45"/>
      <c r="D488" s="45"/>
      <c r="E488" s="45"/>
      <c r="F488" s="45"/>
    </row>
    <row r="489" spans="3:6" ht="15.75" customHeight="1" x14ac:dyDescent="0.2">
      <c r="C489" s="45"/>
      <c r="D489" s="45"/>
      <c r="E489" s="45"/>
      <c r="F489" s="45"/>
    </row>
    <row r="490" spans="3:6" ht="15.75" customHeight="1" x14ac:dyDescent="0.2">
      <c r="C490" s="45"/>
      <c r="D490" s="45"/>
      <c r="E490" s="45"/>
      <c r="F490" s="45"/>
    </row>
    <row r="491" spans="3:6" ht="15.75" customHeight="1" x14ac:dyDescent="0.2">
      <c r="C491" s="45"/>
      <c r="D491" s="45"/>
      <c r="E491" s="45"/>
      <c r="F491" s="45"/>
    </row>
    <row r="492" spans="3:6" ht="15.75" customHeight="1" x14ac:dyDescent="0.2">
      <c r="C492" s="45"/>
      <c r="D492" s="45"/>
      <c r="E492" s="45"/>
      <c r="F492" s="45"/>
    </row>
    <row r="493" spans="3:6" ht="15.75" customHeight="1" x14ac:dyDescent="0.2">
      <c r="C493" s="45"/>
      <c r="D493" s="45"/>
      <c r="E493" s="45"/>
      <c r="F493" s="45"/>
    </row>
    <row r="494" spans="3:6" ht="15.75" customHeight="1" x14ac:dyDescent="0.2">
      <c r="C494" s="45"/>
      <c r="D494" s="45"/>
      <c r="E494" s="45"/>
      <c r="F494" s="45"/>
    </row>
    <row r="495" spans="3:6" ht="15.75" customHeight="1" x14ac:dyDescent="0.2">
      <c r="C495" s="45"/>
      <c r="D495" s="45"/>
      <c r="E495" s="45"/>
      <c r="F495" s="45"/>
    </row>
    <row r="496" spans="3:6" ht="15.75" customHeight="1" x14ac:dyDescent="0.2">
      <c r="C496" s="45"/>
      <c r="D496" s="45"/>
      <c r="E496" s="45"/>
      <c r="F496" s="45"/>
    </row>
    <row r="497" spans="3:6" ht="15.75" customHeight="1" x14ac:dyDescent="0.2">
      <c r="C497" s="45"/>
      <c r="D497" s="45"/>
      <c r="E497" s="45"/>
      <c r="F497" s="45"/>
    </row>
    <row r="498" spans="3:6" ht="15.75" customHeight="1" x14ac:dyDescent="0.2">
      <c r="C498" s="45"/>
      <c r="D498" s="45"/>
      <c r="E498" s="45"/>
      <c r="F498" s="45"/>
    </row>
    <row r="499" spans="3:6" ht="15.75" customHeight="1" x14ac:dyDescent="0.2">
      <c r="C499" s="45"/>
      <c r="D499" s="45"/>
      <c r="E499" s="45"/>
      <c r="F499" s="45"/>
    </row>
    <row r="500" spans="3:6" ht="15.75" customHeight="1" x14ac:dyDescent="0.2">
      <c r="C500" s="45"/>
      <c r="D500" s="45"/>
      <c r="E500" s="45"/>
      <c r="F500" s="45"/>
    </row>
    <row r="501" spans="3:6" ht="15.75" customHeight="1" x14ac:dyDescent="0.2">
      <c r="C501" s="45"/>
      <c r="D501" s="45"/>
      <c r="E501" s="45"/>
      <c r="F501" s="45"/>
    </row>
    <row r="502" spans="3:6" ht="15.75" customHeight="1" x14ac:dyDescent="0.2">
      <c r="C502" s="45"/>
      <c r="D502" s="45"/>
      <c r="E502" s="45"/>
      <c r="F502" s="45"/>
    </row>
    <row r="503" spans="3:6" ht="15.75" customHeight="1" x14ac:dyDescent="0.2">
      <c r="C503" s="45"/>
      <c r="D503" s="45"/>
      <c r="E503" s="45"/>
      <c r="F503" s="45"/>
    </row>
    <row r="504" spans="3:6" ht="15.75" customHeight="1" x14ac:dyDescent="0.2">
      <c r="C504" s="45"/>
      <c r="D504" s="45"/>
      <c r="E504" s="45"/>
      <c r="F504" s="45"/>
    </row>
    <row r="505" spans="3:6" ht="15.75" customHeight="1" x14ac:dyDescent="0.2">
      <c r="C505" s="45"/>
      <c r="D505" s="45"/>
      <c r="E505" s="45"/>
      <c r="F505" s="45"/>
    </row>
    <row r="506" spans="3:6" ht="15.75" customHeight="1" x14ac:dyDescent="0.2">
      <c r="C506" s="45"/>
      <c r="D506" s="45"/>
      <c r="E506" s="45"/>
      <c r="F506" s="45"/>
    </row>
    <row r="507" spans="3:6" ht="15.75" customHeight="1" x14ac:dyDescent="0.2">
      <c r="C507" s="45"/>
      <c r="D507" s="45"/>
      <c r="E507" s="45"/>
      <c r="F507" s="45"/>
    </row>
    <row r="508" spans="3:6" ht="15.75" customHeight="1" x14ac:dyDescent="0.2">
      <c r="C508" s="45"/>
      <c r="D508" s="45"/>
      <c r="E508" s="45"/>
      <c r="F508" s="45"/>
    </row>
    <row r="509" spans="3:6" ht="15.75" customHeight="1" x14ac:dyDescent="0.2">
      <c r="C509" s="45"/>
      <c r="D509" s="45"/>
      <c r="E509" s="45"/>
      <c r="F509" s="45"/>
    </row>
    <row r="510" spans="3:6" ht="15.75" customHeight="1" x14ac:dyDescent="0.2">
      <c r="C510" s="45"/>
      <c r="D510" s="45"/>
      <c r="E510" s="45"/>
      <c r="F510" s="45"/>
    </row>
    <row r="511" spans="3:6" ht="15.75" customHeight="1" x14ac:dyDescent="0.2">
      <c r="C511" s="45"/>
      <c r="D511" s="45"/>
      <c r="E511" s="45"/>
      <c r="F511" s="45"/>
    </row>
    <row r="512" spans="3:6" ht="15.75" customHeight="1" x14ac:dyDescent="0.2">
      <c r="C512" s="45"/>
      <c r="D512" s="45"/>
      <c r="E512" s="45"/>
      <c r="F512" s="45"/>
    </row>
    <row r="513" spans="3:6" ht="15.75" customHeight="1" x14ac:dyDescent="0.2">
      <c r="C513" s="45"/>
      <c r="D513" s="45"/>
      <c r="E513" s="45"/>
      <c r="F513" s="45"/>
    </row>
    <row r="514" spans="3:6" ht="15.75" customHeight="1" x14ac:dyDescent="0.2">
      <c r="C514" s="45"/>
      <c r="D514" s="45"/>
      <c r="E514" s="45"/>
      <c r="F514" s="45"/>
    </row>
    <row r="515" spans="3:6" ht="15.75" customHeight="1" x14ac:dyDescent="0.2">
      <c r="C515" s="45"/>
      <c r="D515" s="45"/>
      <c r="E515" s="45"/>
      <c r="F515" s="45"/>
    </row>
    <row r="516" spans="3:6" ht="15.75" customHeight="1" x14ac:dyDescent="0.2">
      <c r="C516" s="45"/>
      <c r="D516" s="45"/>
      <c r="E516" s="45"/>
      <c r="F516" s="45"/>
    </row>
    <row r="517" spans="3:6" ht="15.75" customHeight="1" x14ac:dyDescent="0.2">
      <c r="C517" s="45"/>
      <c r="D517" s="45"/>
      <c r="E517" s="45"/>
      <c r="F517" s="45"/>
    </row>
    <row r="518" spans="3:6" ht="15.75" customHeight="1" x14ac:dyDescent="0.2">
      <c r="C518" s="45"/>
      <c r="D518" s="45"/>
      <c r="E518" s="45"/>
      <c r="F518" s="45"/>
    </row>
    <row r="519" spans="3:6" ht="15.75" customHeight="1" x14ac:dyDescent="0.2">
      <c r="C519" s="45"/>
      <c r="D519" s="45"/>
      <c r="E519" s="45"/>
      <c r="F519" s="45"/>
    </row>
    <row r="520" spans="3:6" ht="15.75" customHeight="1" x14ac:dyDescent="0.2">
      <c r="C520" s="45"/>
      <c r="D520" s="45"/>
      <c r="E520" s="45"/>
      <c r="F520" s="45"/>
    </row>
    <row r="521" spans="3:6" ht="15.75" customHeight="1" x14ac:dyDescent="0.2">
      <c r="C521" s="45"/>
      <c r="D521" s="45"/>
      <c r="E521" s="45"/>
      <c r="F521" s="45"/>
    </row>
    <row r="522" spans="3:6" ht="15.75" customHeight="1" x14ac:dyDescent="0.2">
      <c r="C522" s="45"/>
      <c r="D522" s="45"/>
      <c r="E522" s="45"/>
      <c r="F522" s="45"/>
    </row>
    <row r="523" spans="3:6" ht="15.75" customHeight="1" x14ac:dyDescent="0.2">
      <c r="C523" s="45"/>
      <c r="D523" s="45"/>
      <c r="E523" s="45"/>
      <c r="F523" s="45"/>
    </row>
    <row r="524" spans="3:6" ht="15.75" customHeight="1" x14ac:dyDescent="0.2">
      <c r="C524" s="45"/>
      <c r="D524" s="45"/>
      <c r="E524" s="45"/>
      <c r="F524" s="45"/>
    </row>
    <row r="525" spans="3:6" ht="15.75" customHeight="1" x14ac:dyDescent="0.2">
      <c r="C525" s="45"/>
      <c r="D525" s="45"/>
      <c r="E525" s="45"/>
      <c r="F525" s="45"/>
    </row>
    <row r="526" spans="3:6" ht="15.75" customHeight="1" x14ac:dyDescent="0.2">
      <c r="C526" s="45"/>
      <c r="D526" s="45"/>
      <c r="E526" s="45"/>
      <c r="F526" s="45"/>
    </row>
    <row r="527" spans="3:6" ht="15.75" customHeight="1" x14ac:dyDescent="0.2">
      <c r="C527" s="45"/>
      <c r="D527" s="45"/>
      <c r="E527" s="45"/>
      <c r="F527" s="45"/>
    </row>
    <row r="528" spans="3:6" ht="15.75" customHeight="1" x14ac:dyDescent="0.2">
      <c r="C528" s="45"/>
      <c r="D528" s="45"/>
      <c r="E528" s="45"/>
      <c r="F528" s="45"/>
    </row>
    <row r="529" spans="3:6" ht="15.75" customHeight="1" x14ac:dyDescent="0.2">
      <c r="C529" s="45"/>
      <c r="D529" s="45"/>
      <c r="E529" s="45"/>
      <c r="F529" s="45"/>
    </row>
    <row r="530" spans="3:6" ht="15.75" customHeight="1" x14ac:dyDescent="0.2">
      <c r="C530" s="45"/>
      <c r="D530" s="45"/>
      <c r="E530" s="45"/>
      <c r="F530" s="45"/>
    </row>
    <row r="531" spans="3:6" ht="15.75" customHeight="1" x14ac:dyDescent="0.2">
      <c r="C531" s="45"/>
      <c r="D531" s="45"/>
      <c r="E531" s="45"/>
      <c r="F531" s="45"/>
    </row>
    <row r="532" spans="3:6" ht="15.75" customHeight="1" x14ac:dyDescent="0.2">
      <c r="C532" s="45"/>
      <c r="D532" s="45"/>
      <c r="E532" s="45"/>
      <c r="F532" s="45"/>
    </row>
    <row r="533" spans="3:6" ht="15.75" customHeight="1" x14ac:dyDescent="0.2">
      <c r="C533" s="45"/>
      <c r="D533" s="45"/>
      <c r="E533" s="45"/>
      <c r="F533" s="45"/>
    </row>
    <row r="534" spans="3:6" ht="15.75" customHeight="1" x14ac:dyDescent="0.2">
      <c r="C534" s="45"/>
      <c r="D534" s="45"/>
      <c r="E534" s="45"/>
      <c r="F534" s="45"/>
    </row>
    <row r="535" spans="3:6" ht="15.75" customHeight="1" x14ac:dyDescent="0.2">
      <c r="C535" s="45"/>
      <c r="D535" s="45"/>
      <c r="E535" s="45"/>
      <c r="F535" s="45"/>
    </row>
    <row r="536" spans="3:6" ht="15.75" customHeight="1" x14ac:dyDescent="0.2">
      <c r="C536" s="45"/>
      <c r="D536" s="45"/>
      <c r="E536" s="45"/>
      <c r="F536" s="45"/>
    </row>
    <row r="537" spans="3:6" ht="15.75" customHeight="1" x14ac:dyDescent="0.2">
      <c r="C537" s="45"/>
      <c r="D537" s="45"/>
      <c r="E537" s="45"/>
      <c r="F537" s="45"/>
    </row>
    <row r="538" spans="3:6" ht="15.75" customHeight="1" x14ac:dyDescent="0.2">
      <c r="C538" s="45"/>
      <c r="D538" s="45"/>
      <c r="E538" s="45"/>
      <c r="F538" s="45"/>
    </row>
    <row r="539" spans="3:6" ht="15.75" customHeight="1" x14ac:dyDescent="0.2">
      <c r="C539" s="45"/>
      <c r="D539" s="45"/>
      <c r="E539" s="45"/>
      <c r="F539" s="45"/>
    </row>
    <row r="540" spans="3:6" ht="15.75" customHeight="1" x14ac:dyDescent="0.2">
      <c r="C540" s="45"/>
      <c r="D540" s="45"/>
      <c r="E540" s="45"/>
      <c r="F540" s="45"/>
    </row>
    <row r="541" spans="3:6" ht="15.75" customHeight="1" x14ac:dyDescent="0.2">
      <c r="C541" s="45"/>
      <c r="D541" s="45"/>
      <c r="E541" s="45"/>
      <c r="F541" s="45"/>
    </row>
    <row r="542" spans="3:6" ht="15.75" customHeight="1" x14ac:dyDescent="0.2">
      <c r="C542" s="45"/>
      <c r="D542" s="45"/>
      <c r="E542" s="45"/>
      <c r="F542" s="45"/>
    </row>
    <row r="543" spans="3:6" ht="15.75" customHeight="1" x14ac:dyDescent="0.2">
      <c r="C543" s="45"/>
      <c r="D543" s="45"/>
      <c r="E543" s="45"/>
      <c r="F543" s="45"/>
    </row>
    <row r="544" spans="3:6" ht="15.75" customHeight="1" x14ac:dyDescent="0.2">
      <c r="C544" s="45"/>
      <c r="D544" s="45"/>
      <c r="E544" s="45"/>
      <c r="F544" s="45"/>
    </row>
    <row r="545" spans="3:6" ht="15.75" customHeight="1" x14ac:dyDescent="0.2">
      <c r="C545" s="45"/>
      <c r="D545" s="45"/>
      <c r="E545" s="45"/>
      <c r="F545" s="45"/>
    </row>
    <row r="546" spans="3:6" ht="15.75" customHeight="1" x14ac:dyDescent="0.2">
      <c r="C546" s="45"/>
      <c r="D546" s="45"/>
      <c r="E546" s="45"/>
      <c r="F546" s="45"/>
    </row>
    <row r="547" spans="3:6" ht="15.75" customHeight="1" x14ac:dyDescent="0.2">
      <c r="C547" s="45"/>
      <c r="D547" s="45"/>
      <c r="E547" s="45"/>
      <c r="F547" s="45"/>
    </row>
    <row r="548" spans="3:6" ht="15.75" customHeight="1" x14ac:dyDescent="0.2">
      <c r="C548" s="45"/>
      <c r="D548" s="45"/>
      <c r="E548" s="45"/>
      <c r="F548" s="45"/>
    </row>
    <row r="549" spans="3:6" ht="15.75" customHeight="1" x14ac:dyDescent="0.2">
      <c r="C549" s="45"/>
      <c r="D549" s="45"/>
      <c r="E549" s="45"/>
      <c r="F549" s="45"/>
    </row>
    <row r="550" spans="3:6" ht="15.75" customHeight="1" x14ac:dyDescent="0.2">
      <c r="C550" s="45"/>
      <c r="D550" s="45"/>
      <c r="E550" s="45"/>
      <c r="F550" s="45"/>
    </row>
    <row r="551" spans="3:6" ht="15.75" customHeight="1" x14ac:dyDescent="0.2">
      <c r="C551" s="45"/>
      <c r="D551" s="45"/>
      <c r="E551" s="45"/>
      <c r="F551" s="45"/>
    </row>
    <row r="552" spans="3:6" ht="15.75" customHeight="1" x14ac:dyDescent="0.2">
      <c r="C552" s="45"/>
      <c r="D552" s="45"/>
      <c r="E552" s="45"/>
      <c r="F552" s="45"/>
    </row>
    <row r="553" spans="3:6" ht="15.75" customHeight="1" x14ac:dyDescent="0.2">
      <c r="C553" s="45"/>
      <c r="D553" s="45"/>
      <c r="E553" s="45"/>
      <c r="F553" s="45"/>
    </row>
    <row r="554" spans="3:6" ht="15.75" customHeight="1" x14ac:dyDescent="0.2">
      <c r="C554" s="45"/>
      <c r="D554" s="45"/>
      <c r="E554" s="45"/>
      <c r="F554" s="45"/>
    </row>
    <row r="555" spans="3:6" ht="15.75" customHeight="1" x14ac:dyDescent="0.2">
      <c r="C555" s="45"/>
      <c r="D555" s="45"/>
      <c r="E555" s="45"/>
      <c r="F555" s="45"/>
    </row>
    <row r="556" spans="3:6" ht="15.75" customHeight="1" x14ac:dyDescent="0.2">
      <c r="C556" s="45"/>
      <c r="D556" s="45"/>
      <c r="E556" s="45"/>
      <c r="F556" s="45"/>
    </row>
    <row r="557" spans="3:6" ht="15.75" customHeight="1" x14ac:dyDescent="0.2">
      <c r="C557" s="45"/>
      <c r="D557" s="45"/>
      <c r="E557" s="45"/>
      <c r="F557" s="45"/>
    </row>
    <row r="558" spans="3:6" ht="15.75" customHeight="1" x14ac:dyDescent="0.2">
      <c r="C558" s="45"/>
      <c r="D558" s="45"/>
      <c r="E558" s="45"/>
      <c r="F558" s="45"/>
    </row>
    <row r="559" spans="3:6" ht="15.75" customHeight="1" x14ac:dyDescent="0.2">
      <c r="C559" s="45"/>
      <c r="D559" s="45"/>
      <c r="E559" s="45"/>
      <c r="F559" s="45"/>
    </row>
    <row r="560" spans="3:6" ht="15.75" customHeight="1" x14ac:dyDescent="0.2">
      <c r="C560" s="45"/>
      <c r="D560" s="45"/>
      <c r="E560" s="45"/>
      <c r="F560" s="45"/>
    </row>
    <row r="561" spans="3:6" ht="15.75" customHeight="1" x14ac:dyDescent="0.2">
      <c r="C561" s="45"/>
      <c r="D561" s="45"/>
      <c r="E561" s="45"/>
      <c r="F561" s="45"/>
    </row>
    <row r="562" spans="3:6" ht="15.75" customHeight="1" x14ac:dyDescent="0.2">
      <c r="C562" s="45"/>
      <c r="D562" s="45"/>
      <c r="E562" s="45"/>
      <c r="F562" s="45"/>
    </row>
    <row r="563" spans="3:6" ht="15.75" customHeight="1" x14ac:dyDescent="0.2">
      <c r="C563" s="45"/>
      <c r="D563" s="45"/>
      <c r="E563" s="45"/>
      <c r="F563" s="45"/>
    </row>
    <row r="564" spans="3:6" ht="15.75" customHeight="1" x14ac:dyDescent="0.2">
      <c r="C564" s="45"/>
      <c r="D564" s="45"/>
      <c r="E564" s="45"/>
      <c r="F564" s="45"/>
    </row>
    <row r="565" spans="3:6" ht="15.75" customHeight="1" x14ac:dyDescent="0.2">
      <c r="C565" s="45"/>
      <c r="D565" s="45"/>
      <c r="E565" s="45"/>
      <c r="F565" s="45"/>
    </row>
    <row r="566" spans="3:6" ht="15.75" customHeight="1" x14ac:dyDescent="0.2">
      <c r="C566" s="45"/>
      <c r="D566" s="45"/>
      <c r="E566" s="45"/>
      <c r="F566" s="45"/>
    </row>
    <row r="567" spans="3:6" ht="15.75" customHeight="1" x14ac:dyDescent="0.2">
      <c r="C567" s="45"/>
      <c r="D567" s="45"/>
      <c r="E567" s="45"/>
      <c r="F567" s="45"/>
    </row>
    <row r="568" spans="3:6" ht="15.75" customHeight="1" x14ac:dyDescent="0.2">
      <c r="C568" s="45"/>
      <c r="D568" s="45"/>
      <c r="E568" s="45"/>
      <c r="F568" s="45"/>
    </row>
    <row r="569" spans="3:6" ht="15.75" customHeight="1" x14ac:dyDescent="0.2">
      <c r="C569" s="45"/>
      <c r="D569" s="45"/>
      <c r="E569" s="45"/>
      <c r="F569" s="45"/>
    </row>
    <row r="570" spans="3:6" ht="15.75" customHeight="1" x14ac:dyDescent="0.2">
      <c r="C570" s="45"/>
      <c r="D570" s="45"/>
      <c r="E570" s="45"/>
      <c r="F570" s="45"/>
    </row>
    <row r="571" spans="3:6" ht="15.75" customHeight="1" x14ac:dyDescent="0.2">
      <c r="C571" s="45"/>
      <c r="D571" s="45"/>
      <c r="E571" s="45"/>
      <c r="F571" s="45"/>
    </row>
    <row r="572" spans="3:6" ht="15.75" customHeight="1" x14ac:dyDescent="0.2">
      <c r="C572" s="45"/>
      <c r="D572" s="45"/>
      <c r="E572" s="45"/>
      <c r="F572" s="45"/>
    </row>
    <row r="573" spans="3:6" ht="15.75" customHeight="1" x14ac:dyDescent="0.2">
      <c r="C573" s="45"/>
      <c r="D573" s="45"/>
      <c r="E573" s="45"/>
      <c r="F573" s="45"/>
    </row>
    <row r="574" spans="3:6" ht="15.75" customHeight="1" x14ac:dyDescent="0.2">
      <c r="C574" s="45"/>
      <c r="D574" s="45"/>
      <c r="E574" s="45"/>
      <c r="F574" s="45"/>
    </row>
    <row r="575" spans="3:6" ht="15.75" customHeight="1" x14ac:dyDescent="0.2">
      <c r="C575" s="45"/>
      <c r="D575" s="45"/>
      <c r="E575" s="45"/>
      <c r="F575" s="45"/>
    </row>
    <row r="576" spans="3:6" ht="15.75" customHeight="1" x14ac:dyDescent="0.2">
      <c r="C576" s="45"/>
      <c r="D576" s="45"/>
      <c r="E576" s="45"/>
      <c r="F576" s="45"/>
    </row>
    <row r="577" spans="3:6" ht="15.75" customHeight="1" x14ac:dyDescent="0.2">
      <c r="C577" s="45"/>
      <c r="D577" s="45"/>
      <c r="E577" s="45"/>
      <c r="F577" s="45"/>
    </row>
    <row r="578" spans="3:6" ht="15.75" customHeight="1" x14ac:dyDescent="0.2">
      <c r="C578" s="45"/>
      <c r="D578" s="45"/>
      <c r="E578" s="45"/>
      <c r="F578" s="45"/>
    </row>
    <row r="579" spans="3:6" ht="15.75" customHeight="1" x14ac:dyDescent="0.2">
      <c r="C579" s="45"/>
      <c r="D579" s="45"/>
      <c r="E579" s="45"/>
      <c r="F579" s="45"/>
    </row>
    <row r="580" spans="3:6" ht="15.75" customHeight="1" x14ac:dyDescent="0.2">
      <c r="C580" s="45"/>
      <c r="D580" s="45"/>
      <c r="E580" s="45"/>
      <c r="F580" s="45"/>
    </row>
    <row r="581" spans="3:6" ht="15.75" customHeight="1" x14ac:dyDescent="0.2">
      <c r="C581" s="45"/>
      <c r="D581" s="45"/>
      <c r="E581" s="45"/>
      <c r="F581" s="45"/>
    </row>
    <row r="582" spans="3:6" ht="15.75" customHeight="1" x14ac:dyDescent="0.2">
      <c r="C582" s="45"/>
      <c r="D582" s="45"/>
      <c r="E582" s="45"/>
      <c r="F582" s="45"/>
    </row>
    <row r="583" spans="3:6" ht="15.75" customHeight="1" x14ac:dyDescent="0.2">
      <c r="C583" s="45"/>
      <c r="D583" s="45"/>
      <c r="E583" s="45"/>
      <c r="F583" s="45"/>
    </row>
    <row r="584" spans="3:6" ht="15.75" customHeight="1" x14ac:dyDescent="0.2">
      <c r="C584" s="45"/>
      <c r="D584" s="45"/>
      <c r="E584" s="45"/>
      <c r="F584" s="45"/>
    </row>
    <row r="585" spans="3:6" ht="15.75" customHeight="1" x14ac:dyDescent="0.2">
      <c r="C585" s="45"/>
      <c r="D585" s="45"/>
      <c r="E585" s="45"/>
      <c r="F585" s="45"/>
    </row>
    <row r="586" spans="3:6" ht="15.75" customHeight="1" x14ac:dyDescent="0.2">
      <c r="C586" s="45"/>
      <c r="D586" s="45"/>
      <c r="E586" s="45"/>
      <c r="F586" s="45"/>
    </row>
    <row r="587" spans="3:6" ht="15.75" customHeight="1" x14ac:dyDescent="0.2">
      <c r="C587" s="45"/>
      <c r="D587" s="45"/>
      <c r="E587" s="45"/>
      <c r="F587" s="45"/>
    </row>
    <row r="588" spans="3:6" ht="15.75" customHeight="1" x14ac:dyDescent="0.2">
      <c r="C588" s="45"/>
      <c r="D588" s="45"/>
      <c r="E588" s="45"/>
      <c r="F588" s="45"/>
    </row>
    <row r="589" spans="3:6" ht="15.75" customHeight="1" x14ac:dyDescent="0.2">
      <c r="C589" s="45"/>
      <c r="D589" s="45"/>
      <c r="E589" s="45"/>
      <c r="F589" s="45"/>
    </row>
    <row r="590" spans="3:6" ht="15.75" customHeight="1" x14ac:dyDescent="0.2">
      <c r="C590" s="45"/>
      <c r="D590" s="45"/>
      <c r="E590" s="45"/>
      <c r="F590" s="45"/>
    </row>
    <row r="591" spans="3:6" ht="15.75" customHeight="1" x14ac:dyDescent="0.2">
      <c r="C591" s="45"/>
      <c r="D591" s="45"/>
      <c r="E591" s="45"/>
      <c r="F591" s="45"/>
    </row>
    <row r="592" spans="3:6" ht="15.75" customHeight="1" x14ac:dyDescent="0.2">
      <c r="C592" s="45"/>
      <c r="D592" s="45"/>
      <c r="E592" s="45"/>
      <c r="F592" s="45"/>
    </row>
    <row r="593" spans="3:6" ht="15.75" customHeight="1" x14ac:dyDescent="0.2">
      <c r="C593" s="45"/>
      <c r="D593" s="45"/>
      <c r="E593" s="45"/>
      <c r="F593" s="45"/>
    </row>
    <row r="594" spans="3:6" ht="15.75" customHeight="1" x14ac:dyDescent="0.2">
      <c r="C594" s="45"/>
      <c r="D594" s="45"/>
      <c r="E594" s="45"/>
      <c r="F594" s="45"/>
    </row>
    <row r="595" spans="3:6" ht="15.75" customHeight="1" x14ac:dyDescent="0.2">
      <c r="C595" s="45"/>
      <c r="D595" s="45"/>
      <c r="E595" s="45"/>
      <c r="F595" s="45"/>
    </row>
    <row r="596" spans="3:6" ht="15.75" customHeight="1" x14ac:dyDescent="0.2">
      <c r="C596" s="45"/>
      <c r="D596" s="45"/>
      <c r="E596" s="45"/>
      <c r="F596" s="45"/>
    </row>
    <row r="597" spans="3:6" ht="15.75" customHeight="1" x14ac:dyDescent="0.2">
      <c r="C597" s="45"/>
      <c r="D597" s="45"/>
      <c r="E597" s="45"/>
      <c r="F597" s="45"/>
    </row>
    <row r="598" spans="3:6" ht="15.75" customHeight="1" x14ac:dyDescent="0.2">
      <c r="C598" s="45"/>
      <c r="D598" s="45"/>
      <c r="E598" s="45"/>
      <c r="F598" s="45"/>
    </row>
    <row r="599" spans="3:6" ht="15.75" customHeight="1" x14ac:dyDescent="0.2">
      <c r="C599" s="45"/>
      <c r="D599" s="45"/>
      <c r="E599" s="45"/>
      <c r="F599" s="45"/>
    </row>
    <row r="600" spans="3:6" ht="15.75" customHeight="1" x14ac:dyDescent="0.2">
      <c r="C600" s="45"/>
      <c r="D600" s="45"/>
      <c r="E600" s="45"/>
      <c r="F600" s="45"/>
    </row>
    <row r="601" spans="3:6" ht="15.75" customHeight="1" x14ac:dyDescent="0.2">
      <c r="C601" s="45"/>
      <c r="D601" s="45"/>
      <c r="E601" s="45"/>
      <c r="F601" s="45"/>
    </row>
    <row r="602" spans="3:6" ht="15.75" customHeight="1" x14ac:dyDescent="0.2">
      <c r="C602" s="45"/>
      <c r="D602" s="45"/>
      <c r="E602" s="45"/>
      <c r="F602" s="45"/>
    </row>
    <row r="603" spans="3:6" ht="15.75" customHeight="1" x14ac:dyDescent="0.2">
      <c r="C603" s="45"/>
      <c r="D603" s="45"/>
      <c r="E603" s="45"/>
      <c r="F603" s="45"/>
    </row>
    <row r="604" spans="3:6" ht="15.75" customHeight="1" x14ac:dyDescent="0.2">
      <c r="C604" s="45"/>
      <c r="D604" s="45"/>
      <c r="E604" s="45"/>
      <c r="F604" s="45"/>
    </row>
    <row r="605" spans="3:6" ht="15.75" customHeight="1" x14ac:dyDescent="0.2">
      <c r="C605" s="45"/>
      <c r="D605" s="45"/>
      <c r="E605" s="45"/>
      <c r="F605" s="45"/>
    </row>
    <row r="606" spans="3:6" ht="15.75" customHeight="1" x14ac:dyDescent="0.2">
      <c r="C606" s="45"/>
      <c r="D606" s="45"/>
      <c r="E606" s="45"/>
      <c r="F606" s="45"/>
    </row>
    <row r="607" spans="3:6" ht="15.75" customHeight="1" x14ac:dyDescent="0.2">
      <c r="C607" s="45"/>
      <c r="D607" s="45"/>
      <c r="E607" s="45"/>
      <c r="F607" s="45"/>
    </row>
    <row r="608" spans="3:6" ht="15.75" customHeight="1" x14ac:dyDescent="0.2">
      <c r="C608" s="45"/>
      <c r="D608" s="45"/>
      <c r="E608" s="45"/>
      <c r="F608" s="45"/>
    </row>
    <row r="609" spans="3:6" ht="15.75" customHeight="1" x14ac:dyDescent="0.2">
      <c r="C609" s="45"/>
      <c r="D609" s="45"/>
      <c r="E609" s="45"/>
      <c r="F609" s="45"/>
    </row>
    <row r="610" spans="3:6" ht="15.75" customHeight="1" x14ac:dyDescent="0.2">
      <c r="C610" s="45"/>
      <c r="D610" s="45"/>
      <c r="E610" s="45"/>
      <c r="F610" s="45"/>
    </row>
    <row r="611" spans="3:6" ht="15.75" customHeight="1" x14ac:dyDescent="0.2">
      <c r="C611" s="45"/>
      <c r="D611" s="45"/>
      <c r="E611" s="45"/>
      <c r="F611" s="45"/>
    </row>
    <row r="612" spans="3:6" ht="15.75" customHeight="1" x14ac:dyDescent="0.2">
      <c r="C612" s="45"/>
      <c r="D612" s="45"/>
      <c r="E612" s="45"/>
      <c r="F612" s="45"/>
    </row>
    <row r="613" spans="3:6" ht="15.75" customHeight="1" x14ac:dyDescent="0.2">
      <c r="C613" s="45"/>
      <c r="D613" s="45"/>
      <c r="E613" s="45"/>
      <c r="F613" s="45"/>
    </row>
    <row r="614" spans="3:6" ht="15.75" customHeight="1" x14ac:dyDescent="0.2">
      <c r="C614" s="45"/>
      <c r="D614" s="45"/>
      <c r="E614" s="45"/>
      <c r="F614" s="45"/>
    </row>
    <row r="615" spans="3:6" ht="15.75" customHeight="1" x14ac:dyDescent="0.2">
      <c r="C615" s="45"/>
      <c r="D615" s="45"/>
      <c r="E615" s="45"/>
      <c r="F615" s="45"/>
    </row>
    <row r="616" spans="3:6" ht="15.75" customHeight="1" x14ac:dyDescent="0.2">
      <c r="C616" s="45"/>
      <c r="D616" s="45"/>
      <c r="E616" s="45"/>
      <c r="F616" s="45"/>
    </row>
    <row r="617" spans="3:6" ht="15.75" customHeight="1" x14ac:dyDescent="0.2">
      <c r="C617" s="45"/>
      <c r="D617" s="45"/>
      <c r="E617" s="45"/>
      <c r="F617" s="45"/>
    </row>
    <row r="618" spans="3:6" ht="15.75" customHeight="1" x14ac:dyDescent="0.2">
      <c r="C618" s="45"/>
      <c r="D618" s="45"/>
      <c r="E618" s="45"/>
      <c r="F618" s="45"/>
    </row>
    <row r="619" spans="3:6" ht="15.75" customHeight="1" x14ac:dyDescent="0.2">
      <c r="C619" s="45"/>
      <c r="D619" s="45"/>
      <c r="E619" s="45"/>
      <c r="F619" s="45"/>
    </row>
    <row r="620" spans="3:6" ht="15.75" customHeight="1" x14ac:dyDescent="0.2">
      <c r="C620" s="45"/>
      <c r="D620" s="45"/>
      <c r="E620" s="45"/>
      <c r="F620" s="45"/>
    </row>
    <row r="621" spans="3:6" ht="15.75" customHeight="1" x14ac:dyDescent="0.2">
      <c r="C621" s="45"/>
      <c r="D621" s="45"/>
      <c r="E621" s="45"/>
      <c r="F621" s="45"/>
    </row>
    <row r="622" spans="3:6" ht="15.75" customHeight="1" x14ac:dyDescent="0.2">
      <c r="C622" s="45"/>
      <c r="D622" s="45"/>
      <c r="E622" s="45"/>
      <c r="F622" s="45"/>
    </row>
    <row r="623" spans="3:6" ht="15.75" customHeight="1" x14ac:dyDescent="0.2">
      <c r="C623" s="45"/>
      <c r="D623" s="45"/>
      <c r="E623" s="45"/>
      <c r="F623" s="45"/>
    </row>
    <row r="624" spans="3:6" ht="15.75" customHeight="1" x14ac:dyDescent="0.2">
      <c r="C624" s="45"/>
      <c r="D624" s="45"/>
      <c r="E624" s="45"/>
      <c r="F624" s="45"/>
    </row>
    <row r="625" spans="3:6" ht="15.75" customHeight="1" x14ac:dyDescent="0.2">
      <c r="C625" s="45"/>
      <c r="D625" s="45"/>
      <c r="E625" s="45"/>
      <c r="F625" s="45"/>
    </row>
    <row r="626" spans="3:6" ht="15.75" customHeight="1" x14ac:dyDescent="0.2">
      <c r="C626" s="45"/>
      <c r="D626" s="45"/>
      <c r="E626" s="45"/>
      <c r="F626" s="45"/>
    </row>
    <row r="627" spans="3:6" ht="15.75" customHeight="1" x14ac:dyDescent="0.2">
      <c r="C627" s="45"/>
      <c r="D627" s="45"/>
      <c r="E627" s="45"/>
      <c r="F627" s="45"/>
    </row>
    <row r="628" spans="3:6" ht="15.75" customHeight="1" x14ac:dyDescent="0.2">
      <c r="C628" s="45"/>
      <c r="D628" s="45"/>
      <c r="E628" s="45"/>
      <c r="F628" s="45"/>
    </row>
    <row r="629" spans="3:6" ht="15.75" customHeight="1" x14ac:dyDescent="0.2">
      <c r="C629" s="45"/>
      <c r="D629" s="45"/>
      <c r="E629" s="45"/>
      <c r="F629" s="45"/>
    </row>
    <row r="630" spans="3:6" ht="15.75" customHeight="1" x14ac:dyDescent="0.2">
      <c r="C630" s="45"/>
      <c r="D630" s="45"/>
      <c r="E630" s="45"/>
      <c r="F630" s="45"/>
    </row>
    <row r="631" spans="3:6" ht="15.75" customHeight="1" x14ac:dyDescent="0.2">
      <c r="C631" s="45"/>
      <c r="D631" s="45"/>
      <c r="E631" s="45"/>
      <c r="F631" s="45"/>
    </row>
    <row r="632" spans="3:6" ht="15.75" customHeight="1" x14ac:dyDescent="0.2">
      <c r="C632" s="45"/>
      <c r="D632" s="45"/>
      <c r="E632" s="45"/>
      <c r="F632" s="45"/>
    </row>
    <row r="633" spans="3:6" ht="15.75" customHeight="1" x14ac:dyDescent="0.2">
      <c r="C633" s="45"/>
      <c r="D633" s="45"/>
      <c r="E633" s="45"/>
      <c r="F633" s="45"/>
    </row>
    <row r="634" spans="3:6" ht="15.75" customHeight="1" x14ac:dyDescent="0.2">
      <c r="C634" s="45"/>
      <c r="D634" s="45"/>
      <c r="E634" s="45"/>
      <c r="F634" s="45"/>
    </row>
    <row r="635" spans="3:6" ht="15.75" customHeight="1" x14ac:dyDescent="0.2">
      <c r="C635" s="45"/>
      <c r="D635" s="45"/>
      <c r="E635" s="45"/>
      <c r="F635" s="45"/>
    </row>
    <row r="636" spans="3:6" ht="15.75" customHeight="1" x14ac:dyDescent="0.2">
      <c r="C636" s="45"/>
      <c r="D636" s="45"/>
      <c r="E636" s="45"/>
      <c r="F636" s="45"/>
    </row>
    <row r="637" spans="3:6" ht="15.75" customHeight="1" x14ac:dyDescent="0.2">
      <c r="C637" s="45"/>
      <c r="D637" s="45"/>
      <c r="E637" s="45"/>
      <c r="F637" s="45"/>
    </row>
    <row r="638" spans="3:6" ht="15.75" customHeight="1" x14ac:dyDescent="0.2">
      <c r="C638" s="45"/>
      <c r="D638" s="45"/>
      <c r="E638" s="45"/>
      <c r="F638" s="45"/>
    </row>
    <row r="639" spans="3:6" ht="15.75" customHeight="1" x14ac:dyDescent="0.2">
      <c r="C639" s="45"/>
      <c r="D639" s="45"/>
      <c r="E639" s="45"/>
      <c r="F639" s="45"/>
    </row>
    <row r="640" spans="3:6" ht="15.75" customHeight="1" x14ac:dyDescent="0.2">
      <c r="C640" s="45"/>
      <c r="D640" s="45"/>
      <c r="E640" s="45"/>
      <c r="F640" s="45"/>
    </row>
    <row r="641" spans="3:6" ht="15.75" customHeight="1" x14ac:dyDescent="0.2">
      <c r="C641" s="45"/>
      <c r="D641" s="45"/>
      <c r="E641" s="45"/>
      <c r="F641" s="45"/>
    </row>
    <row r="642" spans="3:6" ht="15.75" customHeight="1" x14ac:dyDescent="0.2">
      <c r="C642" s="45"/>
      <c r="D642" s="45"/>
      <c r="E642" s="45"/>
      <c r="F642" s="45"/>
    </row>
    <row r="643" spans="3:6" ht="15.75" customHeight="1" x14ac:dyDescent="0.2">
      <c r="C643" s="45"/>
      <c r="D643" s="45"/>
      <c r="E643" s="45"/>
      <c r="F643" s="45"/>
    </row>
    <row r="644" spans="3:6" ht="15.75" customHeight="1" x14ac:dyDescent="0.2">
      <c r="C644" s="45"/>
      <c r="D644" s="45"/>
      <c r="E644" s="45"/>
      <c r="F644" s="45"/>
    </row>
    <row r="645" spans="3:6" ht="15.75" customHeight="1" x14ac:dyDescent="0.2">
      <c r="C645" s="45"/>
      <c r="D645" s="45"/>
      <c r="E645" s="45"/>
      <c r="F645" s="45"/>
    </row>
    <row r="646" spans="3:6" ht="15.75" customHeight="1" x14ac:dyDescent="0.2">
      <c r="C646" s="45"/>
      <c r="D646" s="45"/>
      <c r="E646" s="45"/>
      <c r="F646" s="45"/>
    </row>
    <row r="647" spans="3:6" ht="15.75" customHeight="1" x14ac:dyDescent="0.2">
      <c r="C647" s="45"/>
      <c r="D647" s="45"/>
      <c r="E647" s="45"/>
      <c r="F647" s="45"/>
    </row>
    <row r="648" spans="3:6" ht="15.75" customHeight="1" x14ac:dyDescent="0.2">
      <c r="C648" s="45"/>
      <c r="D648" s="45"/>
      <c r="E648" s="45"/>
      <c r="F648" s="45"/>
    </row>
    <row r="649" spans="3:6" ht="15.75" customHeight="1" x14ac:dyDescent="0.2">
      <c r="C649" s="45"/>
      <c r="D649" s="45"/>
      <c r="E649" s="45"/>
      <c r="F649" s="45"/>
    </row>
    <row r="650" spans="3:6" ht="15.75" customHeight="1" x14ac:dyDescent="0.2">
      <c r="C650" s="45"/>
      <c r="D650" s="45"/>
      <c r="E650" s="45"/>
      <c r="F650" s="45"/>
    </row>
    <row r="651" spans="3:6" ht="15.75" customHeight="1" x14ac:dyDescent="0.2">
      <c r="C651" s="45"/>
      <c r="D651" s="45"/>
      <c r="E651" s="45"/>
      <c r="F651" s="45"/>
    </row>
    <row r="652" spans="3:6" ht="15.75" customHeight="1" x14ac:dyDescent="0.2">
      <c r="C652" s="45"/>
      <c r="D652" s="45"/>
      <c r="E652" s="45"/>
      <c r="F652" s="45"/>
    </row>
    <row r="653" spans="3:6" ht="15.75" customHeight="1" x14ac:dyDescent="0.2">
      <c r="C653" s="45"/>
      <c r="D653" s="45"/>
      <c r="E653" s="45"/>
      <c r="F653" s="45"/>
    </row>
    <row r="654" spans="3:6" ht="15.75" customHeight="1" x14ac:dyDescent="0.2">
      <c r="C654" s="45"/>
      <c r="D654" s="45"/>
      <c r="E654" s="45"/>
      <c r="F654" s="45"/>
    </row>
    <row r="655" spans="3:6" ht="15.75" customHeight="1" x14ac:dyDescent="0.2">
      <c r="C655" s="45"/>
      <c r="D655" s="45"/>
      <c r="E655" s="45"/>
      <c r="F655" s="45"/>
    </row>
    <row r="656" spans="3:6" ht="15.75" customHeight="1" x14ac:dyDescent="0.2">
      <c r="C656" s="45"/>
      <c r="D656" s="45"/>
      <c r="E656" s="45"/>
      <c r="F656" s="45"/>
    </row>
    <row r="657" spans="3:6" ht="15.75" customHeight="1" x14ac:dyDescent="0.2">
      <c r="C657" s="45"/>
      <c r="D657" s="45"/>
      <c r="E657" s="45"/>
      <c r="F657" s="45"/>
    </row>
    <row r="658" spans="3:6" ht="15.75" customHeight="1" x14ac:dyDescent="0.2">
      <c r="C658" s="45"/>
      <c r="D658" s="45"/>
      <c r="E658" s="45"/>
      <c r="F658" s="45"/>
    </row>
    <row r="659" spans="3:6" ht="15.75" customHeight="1" x14ac:dyDescent="0.2">
      <c r="C659" s="45"/>
      <c r="D659" s="45"/>
      <c r="E659" s="45"/>
      <c r="F659" s="45"/>
    </row>
    <row r="660" spans="3:6" ht="15.75" customHeight="1" x14ac:dyDescent="0.2">
      <c r="C660" s="45"/>
      <c r="D660" s="45"/>
      <c r="E660" s="45"/>
      <c r="F660" s="45"/>
    </row>
    <row r="661" spans="3:6" ht="15.75" customHeight="1" x14ac:dyDescent="0.2">
      <c r="C661" s="45"/>
      <c r="D661" s="45"/>
      <c r="E661" s="45"/>
      <c r="F661" s="45"/>
    </row>
    <row r="662" spans="3:6" ht="15.75" customHeight="1" x14ac:dyDescent="0.2">
      <c r="C662" s="45"/>
      <c r="D662" s="45"/>
      <c r="E662" s="45"/>
      <c r="F662" s="45"/>
    </row>
    <row r="663" spans="3:6" ht="15.75" customHeight="1" x14ac:dyDescent="0.2">
      <c r="C663" s="45"/>
      <c r="D663" s="45"/>
      <c r="E663" s="45"/>
      <c r="F663" s="45"/>
    </row>
    <row r="664" spans="3:6" ht="15.75" customHeight="1" x14ac:dyDescent="0.2">
      <c r="C664" s="45"/>
      <c r="D664" s="45"/>
      <c r="E664" s="45"/>
      <c r="F664" s="45"/>
    </row>
    <row r="665" spans="3:6" ht="15.75" customHeight="1" x14ac:dyDescent="0.2">
      <c r="C665" s="45"/>
      <c r="D665" s="45"/>
      <c r="E665" s="45"/>
      <c r="F665" s="45"/>
    </row>
    <row r="666" spans="3:6" ht="15.75" customHeight="1" x14ac:dyDescent="0.2">
      <c r="C666" s="45"/>
      <c r="D666" s="45"/>
      <c r="E666" s="45"/>
      <c r="F666" s="45"/>
    </row>
    <row r="667" spans="3:6" ht="15.75" customHeight="1" x14ac:dyDescent="0.2">
      <c r="C667" s="45"/>
      <c r="D667" s="45"/>
      <c r="E667" s="45"/>
      <c r="F667" s="45"/>
    </row>
    <row r="668" spans="3:6" ht="15.75" customHeight="1" x14ac:dyDescent="0.2">
      <c r="C668" s="45"/>
      <c r="D668" s="45"/>
      <c r="E668" s="45"/>
      <c r="F668" s="45"/>
    </row>
    <row r="669" spans="3:6" ht="15.75" customHeight="1" x14ac:dyDescent="0.2">
      <c r="C669" s="45"/>
      <c r="D669" s="45"/>
      <c r="E669" s="45"/>
      <c r="F669" s="45"/>
    </row>
    <row r="670" spans="3:6" ht="15.75" customHeight="1" x14ac:dyDescent="0.2">
      <c r="C670" s="45"/>
      <c r="D670" s="45"/>
      <c r="E670" s="45"/>
      <c r="F670" s="45"/>
    </row>
    <row r="671" spans="3:6" ht="15.75" customHeight="1" x14ac:dyDescent="0.2">
      <c r="C671" s="45"/>
      <c r="D671" s="45"/>
      <c r="E671" s="45"/>
      <c r="F671" s="45"/>
    </row>
    <row r="672" spans="3:6" ht="15.75" customHeight="1" x14ac:dyDescent="0.2">
      <c r="C672" s="45"/>
      <c r="D672" s="45"/>
      <c r="E672" s="45"/>
      <c r="F672" s="45"/>
    </row>
    <row r="673" spans="3:6" ht="15.75" customHeight="1" x14ac:dyDescent="0.2">
      <c r="C673" s="45"/>
      <c r="D673" s="45"/>
      <c r="E673" s="45"/>
      <c r="F673" s="45"/>
    </row>
    <row r="674" spans="3:6" ht="15.75" customHeight="1" x14ac:dyDescent="0.2">
      <c r="C674" s="45"/>
      <c r="D674" s="45"/>
      <c r="E674" s="45"/>
      <c r="F674" s="45"/>
    </row>
    <row r="675" spans="3:6" ht="15.75" customHeight="1" x14ac:dyDescent="0.2">
      <c r="C675" s="45"/>
      <c r="D675" s="45"/>
      <c r="E675" s="45"/>
      <c r="F675" s="45"/>
    </row>
    <row r="676" spans="3:6" ht="15.75" customHeight="1" x14ac:dyDescent="0.2">
      <c r="C676" s="45"/>
      <c r="D676" s="45"/>
      <c r="E676" s="45"/>
      <c r="F676" s="45"/>
    </row>
    <row r="677" spans="3:6" ht="15.75" customHeight="1" x14ac:dyDescent="0.2">
      <c r="C677" s="45"/>
      <c r="D677" s="45"/>
      <c r="E677" s="45"/>
      <c r="F677" s="45"/>
    </row>
    <row r="678" spans="3:6" ht="15.75" customHeight="1" x14ac:dyDescent="0.2">
      <c r="C678" s="45"/>
      <c r="D678" s="45"/>
      <c r="E678" s="45"/>
      <c r="F678" s="45"/>
    </row>
    <row r="679" spans="3:6" ht="15.75" customHeight="1" x14ac:dyDescent="0.2">
      <c r="C679" s="45"/>
      <c r="D679" s="45"/>
      <c r="E679" s="45"/>
      <c r="F679" s="45"/>
    </row>
    <row r="680" spans="3:6" ht="15.75" customHeight="1" x14ac:dyDescent="0.2">
      <c r="C680" s="45"/>
      <c r="D680" s="45"/>
      <c r="E680" s="45"/>
      <c r="F680" s="45"/>
    </row>
    <row r="681" spans="3:6" ht="15.75" customHeight="1" x14ac:dyDescent="0.2">
      <c r="C681" s="45"/>
      <c r="D681" s="45"/>
      <c r="E681" s="45"/>
      <c r="F681" s="45"/>
    </row>
    <row r="682" spans="3:6" ht="15.75" customHeight="1" x14ac:dyDescent="0.2">
      <c r="C682" s="45"/>
      <c r="D682" s="45"/>
      <c r="E682" s="45"/>
      <c r="F682" s="45"/>
    </row>
    <row r="683" spans="3:6" ht="15.75" customHeight="1" x14ac:dyDescent="0.2">
      <c r="C683" s="45"/>
      <c r="D683" s="45"/>
      <c r="E683" s="45"/>
      <c r="F683" s="45"/>
    </row>
    <row r="684" spans="3:6" ht="15.75" customHeight="1" x14ac:dyDescent="0.2">
      <c r="C684" s="45"/>
      <c r="D684" s="45"/>
      <c r="E684" s="45"/>
      <c r="F684" s="45"/>
    </row>
    <row r="685" spans="3:6" ht="15.75" customHeight="1" x14ac:dyDescent="0.2">
      <c r="C685" s="45"/>
      <c r="D685" s="45"/>
      <c r="E685" s="45"/>
      <c r="F685" s="45"/>
    </row>
    <row r="686" spans="3:6" ht="15.75" customHeight="1" x14ac:dyDescent="0.2">
      <c r="C686" s="45"/>
      <c r="D686" s="45"/>
      <c r="E686" s="45"/>
      <c r="F686" s="45"/>
    </row>
    <row r="687" spans="3:6" ht="15.75" customHeight="1" x14ac:dyDescent="0.2">
      <c r="C687" s="45"/>
      <c r="D687" s="45"/>
      <c r="E687" s="45"/>
      <c r="F687" s="45"/>
    </row>
    <row r="688" spans="3:6" ht="15.75" customHeight="1" x14ac:dyDescent="0.2">
      <c r="C688" s="45"/>
      <c r="D688" s="45"/>
      <c r="E688" s="45"/>
      <c r="F688" s="45"/>
    </row>
    <row r="689" spans="3:6" ht="15.75" customHeight="1" x14ac:dyDescent="0.2">
      <c r="C689" s="45"/>
      <c r="D689" s="45"/>
      <c r="E689" s="45"/>
      <c r="F689" s="45"/>
    </row>
    <row r="690" spans="3:6" ht="15.75" customHeight="1" x14ac:dyDescent="0.2">
      <c r="C690" s="45"/>
      <c r="D690" s="45"/>
      <c r="E690" s="45"/>
      <c r="F690" s="45"/>
    </row>
    <row r="691" spans="3:6" ht="15.75" customHeight="1" x14ac:dyDescent="0.2">
      <c r="C691" s="45"/>
      <c r="D691" s="45"/>
      <c r="E691" s="45"/>
      <c r="F691" s="45"/>
    </row>
    <row r="692" spans="3:6" ht="15.75" customHeight="1" x14ac:dyDescent="0.2">
      <c r="C692" s="45"/>
      <c r="D692" s="45"/>
      <c r="E692" s="45"/>
      <c r="F692" s="45"/>
    </row>
    <row r="693" spans="3:6" ht="15.75" customHeight="1" x14ac:dyDescent="0.2">
      <c r="C693" s="45"/>
      <c r="D693" s="45"/>
      <c r="E693" s="45"/>
      <c r="F693" s="45"/>
    </row>
    <row r="694" spans="3:6" ht="15.75" customHeight="1" x14ac:dyDescent="0.2">
      <c r="C694" s="45"/>
      <c r="D694" s="45"/>
      <c r="E694" s="45"/>
      <c r="F694" s="45"/>
    </row>
    <row r="695" spans="3:6" ht="15.75" customHeight="1" x14ac:dyDescent="0.2">
      <c r="C695" s="45"/>
      <c r="D695" s="45"/>
      <c r="E695" s="45"/>
      <c r="F695" s="45"/>
    </row>
    <row r="696" spans="3:6" ht="15.75" customHeight="1" x14ac:dyDescent="0.2">
      <c r="C696" s="45"/>
      <c r="D696" s="45"/>
      <c r="E696" s="45"/>
      <c r="F696" s="45"/>
    </row>
    <row r="697" spans="3:6" ht="15.75" customHeight="1" x14ac:dyDescent="0.2">
      <c r="C697" s="45"/>
      <c r="D697" s="45"/>
      <c r="E697" s="45"/>
      <c r="F697" s="45"/>
    </row>
    <row r="698" spans="3:6" ht="15.75" customHeight="1" x14ac:dyDescent="0.2">
      <c r="C698" s="45"/>
      <c r="D698" s="45"/>
      <c r="E698" s="45"/>
      <c r="F698" s="45"/>
    </row>
    <row r="699" spans="3:6" ht="15.75" customHeight="1" x14ac:dyDescent="0.2">
      <c r="C699" s="45"/>
      <c r="D699" s="45"/>
      <c r="E699" s="45"/>
      <c r="F699" s="45"/>
    </row>
    <row r="700" spans="3:6" ht="15.75" customHeight="1" x14ac:dyDescent="0.2">
      <c r="C700" s="45"/>
      <c r="D700" s="45"/>
      <c r="E700" s="45"/>
      <c r="F700" s="45"/>
    </row>
    <row r="701" spans="3:6" ht="15.75" customHeight="1" x14ac:dyDescent="0.2">
      <c r="C701" s="45"/>
      <c r="D701" s="45"/>
      <c r="E701" s="45"/>
      <c r="F701" s="45"/>
    </row>
    <row r="702" spans="3:6" ht="15.75" customHeight="1" x14ac:dyDescent="0.2">
      <c r="C702" s="45"/>
      <c r="D702" s="45"/>
      <c r="E702" s="45"/>
      <c r="F702" s="45"/>
    </row>
    <row r="703" spans="3:6" ht="15.75" customHeight="1" x14ac:dyDescent="0.2">
      <c r="C703" s="45"/>
      <c r="D703" s="45"/>
      <c r="E703" s="45"/>
      <c r="F703" s="45"/>
    </row>
    <row r="704" spans="3:6" ht="15.75" customHeight="1" x14ac:dyDescent="0.2">
      <c r="C704" s="45"/>
      <c r="D704" s="45"/>
      <c r="E704" s="45"/>
      <c r="F704" s="45"/>
    </row>
    <row r="705" spans="3:6" ht="15.75" customHeight="1" x14ac:dyDescent="0.2">
      <c r="C705" s="45"/>
      <c r="D705" s="45"/>
      <c r="E705" s="45"/>
      <c r="F705" s="45"/>
    </row>
    <row r="706" spans="3:6" ht="15.75" customHeight="1" x14ac:dyDescent="0.2">
      <c r="C706" s="45"/>
      <c r="D706" s="45"/>
      <c r="E706" s="45"/>
      <c r="F706" s="45"/>
    </row>
    <row r="707" spans="3:6" ht="15.75" customHeight="1" x14ac:dyDescent="0.2">
      <c r="C707" s="45"/>
      <c r="D707" s="45"/>
      <c r="E707" s="45"/>
      <c r="F707" s="45"/>
    </row>
    <row r="708" spans="3:6" ht="15.75" customHeight="1" x14ac:dyDescent="0.2">
      <c r="C708" s="45"/>
      <c r="D708" s="45"/>
      <c r="E708" s="45"/>
      <c r="F708" s="45"/>
    </row>
    <row r="709" spans="3:6" ht="15.75" customHeight="1" x14ac:dyDescent="0.2">
      <c r="C709" s="45"/>
      <c r="D709" s="45"/>
      <c r="E709" s="45"/>
      <c r="F709" s="45"/>
    </row>
    <row r="710" spans="3:6" ht="15.75" customHeight="1" x14ac:dyDescent="0.2">
      <c r="C710" s="45"/>
      <c r="D710" s="45"/>
      <c r="E710" s="45"/>
      <c r="F710" s="45"/>
    </row>
    <row r="711" spans="3:6" ht="15.75" customHeight="1" x14ac:dyDescent="0.2">
      <c r="C711" s="45"/>
      <c r="D711" s="45"/>
      <c r="E711" s="45"/>
      <c r="F711" s="45"/>
    </row>
    <row r="712" spans="3:6" ht="15.75" customHeight="1" x14ac:dyDescent="0.2">
      <c r="C712" s="45"/>
      <c r="D712" s="45"/>
      <c r="E712" s="45"/>
      <c r="F712" s="45"/>
    </row>
    <row r="713" spans="3:6" ht="15.75" customHeight="1" x14ac:dyDescent="0.2">
      <c r="C713" s="45"/>
      <c r="D713" s="45"/>
      <c r="E713" s="45"/>
      <c r="F713" s="45"/>
    </row>
    <row r="714" spans="3:6" ht="15.75" customHeight="1" x14ac:dyDescent="0.2">
      <c r="C714" s="45"/>
      <c r="D714" s="45"/>
      <c r="E714" s="45"/>
      <c r="F714" s="45"/>
    </row>
    <row r="715" spans="3:6" ht="15.75" customHeight="1" x14ac:dyDescent="0.2">
      <c r="C715" s="45"/>
      <c r="D715" s="45"/>
      <c r="E715" s="45"/>
      <c r="F715" s="45"/>
    </row>
    <row r="716" spans="3:6" ht="15.75" customHeight="1" x14ac:dyDescent="0.2">
      <c r="C716" s="45"/>
      <c r="D716" s="45"/>
      <c r="E716" s="45"/>
      <c r="F716" s="45"/>
    </row>
    <row r="717" spans="3:6" ht="15.75" customHeight="1" x14ac:dyDescent="0.2">
      <c r="C717" s="45"/>
      <c r="D717" s="45"/>
      <c r="E717" s="45"/>
      <c r="F717" s="45"/>
    </row>
    <row r="718" spans="3:6" ht="15.75" customHeight="1" x14ac:dyDescent="0.2">
      <c r="C718" s="45"/>
      <c r="D718" s="45"/>
      <c r="E718" s="45"/>
      <c r="F718" s="45"/>
    </row>
    <row r="719" spans="3:6" ht="15.75" customHeight="1" x14ac:dyDescent="0.2">
      <c r="C719" s="45"/>
      <c r="D719" s="45"/>
      <c r="E719" s="45"/>
      <c r="F719" s="45"/>
    </row>
    <row r="720" spans="3:6" ht="15.75" customHeight="1" x14ac:dyDescent="0.2">
      <c r="C720" s="45"/>
      <c r="D720" s="45"/>
      <c r="E720" s="45"/>
      <c r="F720" s="45"/>
    </row>
    <row r="721" spans="3:6" ht="15.75" customHeight="1" x14ac:dyDescent="0.2">
      <c r="C721" s="45"/>
      <c r="D721" s="45"/>
      <c r="E721" s="45"/>
      <c r="F721" s="45"/>
    </row>
    <row r="722" spans="3:6" ht="15.75" customHeight="1" x14ac:dyDescent="0.2">
      <c r="C722" s="45"/>
      <c r="D722" s="45"/>
      <c r="E722" s="45"/>
      <c r="F722" s="45"/>
    </row>
    <row r="723" spans="3:6" ht="15.75" customHeight="1" x14ac:dyDescent="0.2">
      <c r="C723" s="45"/>
      <c r="D723" s="45"/>
      <c r="E723" s="45"/>
      <c r="F723" s="45"/>
    </row>
    <row r="724" spans="3:6" ht="15.75" customHeight="1" x14ac:dyDescent="0.2">
      <c r="C724" s="45"/>
      <c r="D724" s="45"/>
      <c r="E724" s="45"/>
      <c r="F724" s="45"/>
    </row>
    <row r="725" spans="3:6" ht="15.75" customHeight="1" x14ac:dyDescent="0.2">
      <c r="C725" s="45"/>
      <c r="D725" s="45"/>
      <c r="E725" s="45"/>
      <c r="F725" s="45"/>
    </row>
    <row r="726" spans="3:6" ht="15.75" customHeight="1" x14ac:dyDescent="0.2">
      <c r="C726" s="45"/>
      <c r="D726" s="45"/>
      <c r="E726" s="45"/>
      <c r="F726" s="45"/>
    </row>
    <row r="727" spans="3:6" ht="15.75" customHeight="1" x14ac:dyDescent="0.2">
      <c r="C727" s="45"/>
      <c r="D727" s="45"/>
      <c r="E727" s="45"/>
      <c r="F727" s="45"/>
    </row>
    <row r="728" spans="3:6" ht="15.75" customHeight="1" x14ac:dyDescent="0.2">
      <c r="C728" s="45"/>
      <c r="D728" s="45"/>
      <c r="E728" s="45"/>
      <c r="F728" s="45"/>
    </row>
    <row r="729" spans="3:6" ht="15.75" customHeight="1" x14ac:dyDescent="0.2">
      <c r="C729" s="45"/>
      <c r="D729" s="45"/>
      <c r="E729" s="45"/>
      <c r="F729" s="45"/>
    </row>
    <row r="730" spans="3:6" ht="15.75" customHeight="1" x14ac:dyDescent="0.2">
      <c r="C730" s="45"/>
      <c r="D730" s="45"/>
      <c r="E730" s="45"/>
      <c r="F730" s="45"/>
    </row>
    <row r="731" spans="3:6" ht="15.75" customHeight="1" x14ac:dyDescent="0.2">
      <c r="C731" s="45"/>
      <c r="D731" s="45"/>
      <c r="E731" s="45"/>
      <c r="F731" s="45"/>
    </row>
    <row r="732" spans="3:6" ht="15.75" customHeight="1" x14ac:dyDescent="0.2">
      <c r="C732" s="45"/>
      <c r="D732" s="45"/>
      <c r="E732" s="45"/>
      <c r="F732" s="45"/>
    </row>
    <row r="733" spans="3:6" ht="15.75" customHeight="1" x14ac:dyDescent="0.2">
      <c r="C733" s="45"/>
      <c r="D733" s="45"/>
      <c r="E733" s="45"/>
      <c r="F733" s="45"/>
    </row>
    <row r="734" spans="3:6" ht="15.75" customHeight="1" x14ac:dyDescent="0.2">
      <c r="C734" s="45"/>
      <c r="D734" s="45"/>
      <c r="E734" s="45"/>
      <c r="F734" s="45"/>
    </row>
    <row r="735" spans="3:6" ht="15.75" customHeight="1" x14ac:dyDescent="0.2">
      <c r="C735" s="45"/>
      <c r="D735" s="45"/>
      <c r="E735" s="45"/>
      <c r="F735" s="45"/>
    </row>
    <row r="736" spans="3:6" ht="15.75" customHeight="1" x14ac:dyDescent="0.2">
      <c r="C736" s="45"/>
      <c r="D736" s="45"/>
      <c r="E736" s="45"/>
      <c r="F736" s="45"/>
    </row>
    <row r="737" spans="3:6" ht="15.75" customHeight="1" x14ac:dyDescent="0.2">
      <c r="C737" s="45"/>
      <c r="D737" s="45"/>
      <c r="E737" s="45"/>
      <c r="F737" s="45"/>
    </row>
    <row r="738" spans="3:6" ht="15.75" customHeight="1" x14ac:dyDescent="0.2">
      <c r="C738" s="45"/>
      <c r="D738" s="45"/>
      <c r="E738" s="45"/>
      <c r="F738" s="45"/>
    </row>
    <row r="739" spans="3:6" ht="15.75" customHeight="1" x14ac:dyDescent="0.2">
      <c r="C739" s="45"/>
      <c r="D739" s="45"/>
      <c r="E739" s="45"/>
      <c r="F739" s="45"/>
    </row>
    <row r="740" spans="3:6" ht="15.75" customHeight="1" x14ac:dyDescent="0.2">
      <c r="C740" s="45"/>
      <c r="D740" s="45"/>
      <c r="E740" s="45"/>
      <c r="F740" s="45"/>
    </row>
    <row r="741" spans="3:6" ht="15.75" customHeight="1" x14ac:dyDescent="0.2">
      <c r="C741" s="45"/>
      <c r="D741" s="45"/>
      <c r="E741" s="45"/>
      <c r="F741" s="45"/>
    </row>
    <row r="742" spans="3:6" ht="15.75" customHeight="1" x14ac:dyDescent="0.2">
      <c r="C742" s="45"/>
      <c r="D742" s="45"/>
      <c r="E742" s="45"/>
      <c r="F742" s="45"/>
    </row>
    <row r="743" spans="3:6" ht="15.75" customHeight="1" x14ac:dyDescent="0.2">
      <c r="C743" s="45"/>
      <c r="D743" s="45"/>
      <c r="E743" s="45"/>
      <c r="F743" s="45"/>
    </row>
    <row r="744" spans="3:6" ht="15.75" customHeight="1" x14ac:dyDescent="0.2">
      <c r="C744" s="45"/>
      <c r="D744" s="45"/>
      <c r="E744" s="45"/>
      <c r="F744" s="45"/>
    </row>
    <row r="745" spans="3:6" ht="15.75" customHeight="1" x14ac:dyDescent="0.2">
      <c r="C745" s="45"/>
      <c r="D745" s="45"/>
      <c r="E745" s="45"/>
      <c r="F745" s="45"/>
    </row>
    <row r="746" spans="3:6" ht="15.75" customHeight="1" x14ac:dyDescent="0.2">
      <c r="C746" s="45"/>
      <c r="D746" s="45"/>
      <c r="E746" s="45"/>
      <c r="F746" s="45"/>
    </row>
    <row r="747" spans="3:6" ht="15.75" customHeight="1" x14ac:dyDescent="0.2">
      <c r="C747" s="45"/>
      <c r="D747" s="45"/>
      <c r="E747" s="45"/>
      <c r="F747" s="45"/>
    </row>
    <row r="748" spans="3:6" ht="15.75" customHeight="1" x14ac:dyDescent="0.2">
      <c r="C748" s="45"/>
      <c r="D748" s="45"/>
      <c r="E748" s="45"/>
      <c r="F748" s="45"/>
    </row>
    <row r="749" spans="3:6" ht="15.75" customHeight="1" x14ac:dyDescent="0.2">
      <c r="C749" s="45"/>
      <c r="D749" s="45"/>
      <c r="E749" s="45"/>
      <c r="F749" s="45"/>
    </row>
    <row r="750" spans="3:6" ht="15.75" customHeight="1" x14ac:dyDescent="0.2">
      <c r="C750" s="45"/>
      <c r="D750" s="45"/>
      <c r="E750" s="45"/>
      <c r="F750" s="45"/>
    </row>
    <row r="751" spans="3:6" ht="15.75" customHeight="1" x14ac:dyDescent="0.2">
      <c r="C751" s="45"/>
      <c r="D751" s="45"/>
      <c r="E751" s="45"/>
      <c r="F751" s="45"/>
    </row>
    <row r="752" spans="3:6" ht="15.75" customHeight="1" x14ac:dyDescent="0.2">
      <c r="C752" s="45"/>
      <c r="D752" s="45"/>
      <c r="E752" s="45"/>
      <c r="F752" s="45"/>
    </row>
    <row r="753" spans="3:6" ht="15.75" customHeight="1" x14ac:dyDescent="0.2">
      <c r="C753" s="45"/>
      <c r="D753" s="45"/>
      <c r="E753" s="45"/>
      <c r="F753" s="45"/>
    </row>
    <row r="754" spans="3:6" ht="15.75" customHeight="1" x14ac:dyDescent="0.2">
      <c r="C754" s="45"/>
      <c r="D754" s="45"/>
      <c r="E754" s="45"/>
      <c r="F754" s="45"/>
    </row>
    <row r="755" spans="3:6" ht="15.75" customHeight="1" x14ac:dyDescent="0.2">
      <c r="C755" s="45"/>
      <c r="D755" s="45"/>
      <c r="E755" s="45"/>
      <c r="F755" s="45"/>
    </row>
    <row r="756" spans="3:6" ht="15.75" customHeight="1" x14ac:dyDescent="0.2">
      <c r="C756" s="45"/>
      <c r="D756" s="45"/>
      <c r="E756" s="45"/>
      <c r="F756" s="45"/>
    </row>
    <row r="757" spans="3:6" ht="15.75" customHeight="1" x14ac:dyDescent="0.2">
      <c r="C757" s="45"/>
      <c r="D757" s="45"/>
      <c r="E757" s="45"/>
      <c r="F757" s="45"/>
    </row>
    <row r="758" spans="3:6" ht="15.75" customHeight="1" x14ac:dyDescent="0.2">
      <c r="C758" s="45"/>
      <c r="D758" s="45"/>
      <c r="E758" s="45"/>
      <c r="F758" s="45"/>
    </row>
    <row r="759" spans="3:6" ht="15.75" customHeight="1" x14ac:dyDescent="0.2">
      <c r="C759" s="45"/>
      <c r="D759" s="45"/>
      <c r="E759" s="45"/>
      <c r="F759" s="45"/>
    </row>
    <row r="760" spans="3:6" ht="15.75" customHeight="1" x14ac:dyDescent="0.2">
      <c r="C760" s="45"/>
      <c r="D760" s="45"/>
      <c r="E760" s="45"/>
      <c r="F760" s="45"/>
    </row>
    <row r="761" spans="3:6" ht="15.75" customHeight="1" x14ac:dyDescent="0.2">
      <c r="C761" s="45"/>
      <c r="D761" s="45"/>
      <c r="E761" s="45"/>
      <c r="F761" s="45"/>
    </row>
    <row r="762" spans="3:6" ht="15.75" customHeight="1" x14ac:dyDescent="0.2">
      <c r="C762" s="45"/>
      <c r="D762" s="45"/>
      <c r="E762" s="45"/>
      <c r="F762" s="45"/>
    </row>
    <row r="763" spans="3:6" ht="15.75" customHeight="1" x14ac:dyDescent="0.2">
      <c r="C763" s="45"/>
      <c r="D763" s="45"/>
      <c r="E763" s="45"/>
      <c r="F763" s="45"/>
    </row>
    <row r="764" spans="3:6" ht="15.75" customHeight="1" x14ac:dyDescent="0.2">
      <c r="C764" s="45"/>
      <c r="D764" s="45"/>
      <c r="E764" s="45"/>
      <c r="F764" s="45"/>
    </row>
    <row r="765" spans="3:6" ht="15.75" customHeight="1" x14ac:dyDescent="0.2">
      <c r="C765" s="45"/>
      <c r="D765" s="45"/>
      <c r="E765" s="45"/>
      <c r="F765" s="45"/>
    </row>
    <row r="766" spans="3:6" ht="15.75" customHeight="1" x14ac:dyDescent="0.2">
      <c r="C766" s="45"/>
      <c r="D766" s="45"/>
      <c r="E766" s="45"/>
      <c r="F766" s="45"/>
    </row>
    <row r="767" spans="3:6" ht="15.75" customHeight="1" x14ac:dyDescent="0.2">
      <c r="C767" s="45"/>
      <c r="D767" s="45"/>
      <c r="E767" s="45"/>
      <c r="F767" s="45"/>
    </row>
    <row r="768" spans="3:6" ht="15.75" customHeight="1" x14ac:dyDescent="0.2">
      <c r="C768" s="45"/>
      <c r="D768" s="45"/>
      <c r="E768" s="45"/>
      <c r="F768" s="45"/>
    </row>
    <row r="769" spans="3:6" ht="15.75" customHeight="1" x14ac:dyDescent="0.2">
      <c r="C769" s="45"/>
      <c r="D769" s="45"/>
      <c r="E769" s="45"/>
      <c r="F769" s="45"/>
    </row>
    <row r="770" spans="3:6" ht="15.75" customHeight="1" x14ac:dyDescent="0.2">
      <c r="C770" s="45"/>
      <c r="D770" s="45"/>
      <c r="E770" s="45"/>
      <c r="F770" s="45"/>
    </row>
    <row r="771" spans="3:6" ht="15.75" customHeight="1" x14ac:dyDescent="0.2">
      <c r="C771" s="45"/>
      <c r="D771" s="45"/>
      <c r="E771" s="45"/>
      <c r="F771" s="45"/>
    </row>
    <row r="772" spans="3:6" ht="15.75" customHeight="1" x14ac:dyDescent="0.2">
      <c r="C772" s="45"/>
      <c r="D772" s="45"/>
      <c r="E772" s="45"/>
      <c r="F772" s="45"/>
    </row>
    <row r="773" spans="3:6" ht="15.75" customHeight="1" x14ac:dyDescent="0.2">
      <c r="C773" s="45"/>
      <c r="D773" s="45"/>
      <c r="E773" s="45"/>
      <c r="F773" s="45"/>
    </row>
    <row r="774" spans="3:6" ht="15.75" customHeight="1" x14ac:dyDescent="0.2">
      <c r="C774" s="45"/>
      <c r="D774" s="45"/>
      <c r="E774" s="45"/>
      <c r="F774" s="45"/>
    </row>
    <row r="775" spans="3:6" ht="15.75" customHeight="1" x14ac:dyDescent="0.2">
      <c r="C775" s="45"/>
      <c r="D775" s="45"/>
      <c r="E775" s="45"/>
      <c r="F775" s="45"/>
    </row>
    <row r="776" spans="3:6" ht="15.75" customHeight="1" x14ac:dyDescent="0.2">
      <c r="C776" s="45"/>
      <c r="D776" s="45"/>
      <c r="E776" s="45"/>
      <c r="F776" s="45"/>
    </row>
    <row r="777" spans="3:6" ht="15.75" customHeight="1" x14ac:dyDescent="0.2">
      <c r="C777" s="45"/>
      <c r="D777" s="45"/>
      <c r="E777" s="45"/>
      <c r="F777" s="45"/>
    </row>
    <row r="778" spans="3:6" ht="15.75" customHeight="1" x14ac:dyDescent="0.2">
      <c r="C778" s="45"/>
      <c r="D778" s="45"/>
      <c r="E778" s="45"/>
      <c r="F778" s="45"/>
    </row>
    <row r="779" spans="3:6" ht="15.75" customHeight="1" x14ac:dyDescent="0.2">
      <c r="C779" s="45"/>
      <c r="D779" s="45"/>
      <c r="E779" s="45"/>
      <c r="F779" s="45"/>
    </row>
    <row r="780" spans="3:6" ht="15.75" customHeight="1" x14ac:dyDescent="0.2">
      <c r="C780" s="45"/>
      <c r="D780" s="45"/>
      <c r="E780" s="45"/>
      <c r="F780" s="45"/>
    </row>
    <row r="781" spans="3:6" ht="15.75" customHeight="1" x14ac:dyDescent="0.2">
      <c r="C781" s="45"/>
      <c r="D781" s="45"/>
      <c r="E781" s="45"/>
      <c r="F781" s="45"/>
    </row>
    <row r="782" spans="3:6" ht="15.75" customHeight="1" x14ac:dyDescent="0.2">
      <c r="C782" s="45"/>
      <c r="D782" s="45"/>
      <c r="E782" s="45"/>
      <c r="F782" s="45"/>
    </row>
    <row r="783" spans="3:6" ht="15.75" customHeight="1" x14ac:dyDescent="0.2">
      <c r="C783" s="45"/>
      <c r="D783" s="45"/>
      <c r="E783" s="45"/>
      <c r="F783" s="45"/>
    </row>
    <row r="784" spans="3:6" ht="15.75" customHeight="1" x14ac:dyDescent="0.2">
      <c r="C784" s="45"/>
      <c r="D784" s="45"/>
      <c r="E784" s="45"/>
      <c r="F784" s="45"/>
    </row>
    <row r="785" spans="3:6" ht="15.75" customHeight="1" x14ac:dyDescent="0.2">
      <c r="C785" s="45"/>
      <c r="D785" s="45"/>
      <c r="E785" s="45"/>
      <c r="F785" s="45"/>
    </row>
    <row r="786" spans="3:6" ht="15.75" customHeight="1" x14ac:dyDescent="0.2">
      <c r="C786" s="45"/>
      <c r="D786" s="45"/>
      <c r="E786" s="45"/>
      <c r="F786" s="45"/>
    </row>
    <row r="787" spans="3:6" ht="15.75" customHeight="1" x14ac:dyDescent="0.2">
      <c r="C787" s="45"/>
      <c r="D787" s="45"/>
      <c r="E787" s="45"/>
      <c r="F787" s="45"/>
    </row>
    <row r="788" spans="3:6" ht="15.75" customHeight="1" x14ac:dyDescent="0.2">
      <c r="C788" s="45"/>
      <c r="D788" s="45"/>
      <c r="E788" s="45"/>
      <c r="F788" s="45"/>
    </row>
    <row r="789" spans="3:6" ht="15.75" customHeight="1" x14ac:dyDescent="0.2">
      <c r="C789" s="45"/>
      <c r="D789" s="45"/>
      <c r="E789" s="45"/>
      <c r="F789" s="45"/>
    </row>
    <row r="790" spans="3:6" ht="15.75" customHeight="1" x14ac:dyDescent="0.2">
      <c r="C790" s="45"/>
      <c r="D790" s="45"/>
      <c r="E790" s="45"/>
      <c r="F790" s="45"/>
    </row>
    <row r="791" spans="3:6" ht="15.75" customHeight="1" x14ac:dyDescent="0.2">
      <c r="C791" s="45"/>
      <c r="D791" s="45"/>
      <c r="E791" s="45"/>
      <c r="F791" s="45"/>
    </row>
    <row r="792" spans="3:6" ht="15.75" customHeight="1" x14ac:dyDescent="0.2">
      <c r="C792" s="45"/>
      <c r="D792" s="45"/>
      <c r="E792" s="45"/>
      <c r="F792" s="45"/>
    </row>
    <row r="793" spans="3:6" ht="15.75" customHeight="1" x14ac:dyDescent="0.2">
      <c r="C793" s="45"/>
      <c r="D793" s="45"/>
      <c r="E793" s="45"/>
      <c r="F793" s="45"/>
    </row>
    <row r="794" spans="3:6" ht="15.75" customHeight="1" x14ac:dyDescent="0.2">
      <c r="C794" s="45"/>
      <c r="D794" s="45"/>
      <c r="E794" s="45"/>
      <c r="F794" s="45"/>
    </row>
    <row r="795" spans="3:6" ht="15.75" customHeight="1" x14ac:dyDescent="0.2">
      <c r="C795" s="45"/>
      <c r="D795" s="45"/>
      <c r="E795" s="45"/>
      <c r="F795" s="45"/>
    </row>
    <row r="796" spans="3:6" ht="15.75" customHeight="1" x14ac:dyDescent="0.2">
      <c r="C796" s="45"/>
      <c r="D796" s="45"/>
      <c r="E796" s="45"/>
      <c r="F796" s="45"/>
    </row>
    <row r="797" spans="3:6" ht="15.75" customHeight="1" x14ac:dyDescent="0.2">
      <c r="C797" s="45"/>
      <c r="D797" s="45"/>
      <c r="E797" s="45"/>
      <c r="F797" s="45"/>
    </row>
    <row r="798" spans="3:6" ht="15.75" customHeight="1" x14ac:dyDescent="0.2">
      <c r="C798" s="45"/>
      <c r="D798" s="45"/>
      <c r="E798" s="45"/>
      <c r="F798" s="45"/>
    </row>
    <row r="799" spans="3:6" ht="15.75" customHeight="1" x14ac:dyDescent="0.2">
      <c r="C799" s="45"/>
      <c r="D799" s="45"/>
      <c r="E799" s="45"/>
      <c r="F799" s="45"/>
    </row>
    <row r="800" spans="3:6" ht="15.75" customHeight="1" x14ac:dyDescent="0.2">
      <c r="C800" s="45"/>
      <c r="D800" s="45"/>
      <c r="E800" s="45"/>
      <c r="F800" s="45"/>
    </row>
    <row r="801" spans="3:6" ht="15.75" customHeight="1" x14ac:dyDescent="0.2">
      <c r="C801" s="45"/>
      <c r="D801" s="45"/>
      <c r="E801" s="45"/>
      <c r="F801" s="45"/>
    </row>
    <row r="802" spans="3:6" ht="15.75" customHeight="1" x14ac:dyDescent="0.2">
      <c r="C802" s="45"/>
      <c r="D802" s="45"/>
      <c r="E802" s="45"/>
      <c r="F802" s="45"/>
    </row>
    <row r="803" spans="3:6" ht="15.75" customHeight="1" x14ac:dyDescent="0.2">
      <c r="C803" s="45"/>
      <c r="D803" s="45"/>
      <c r="E803" s="45"/>
      <c r="F803" s="45"/>
    </row>
    <row r="804" spans="3:6" ht="15.75" customHeight="1" x14ac:dyDescent="0.2">
      <c r="C804" s="45"/>
      <c r="D804" s="45"/>
      <c r="E804" s="45"/>
      <c r="F804" s="45"/>
    </row>
    <row r="805" spans="3:6" ht="15.75" customHeight="1" x14ac:dyDescent="0.2">
      <c r="C805" s="45"/>
      <c r="D805" s="45"/>
      <c r="E805" s="45"/>
      <c r="F805" s="45"/>
    </row>
    <row r="806" spans="3:6" ht="15.75" customHeight="1" x14ac:dyDescent="0.2">
      <c r="C806" s="45"/>
      <c r="D806" s="45"/>
      <c r="E806" s="45"/>
      <c r="F806" s="45"/>
    </row>
    <row r="807" spans="3:6" ht="15.75" customHeight="1" x14ac:dyDescent="0.2">
      <c r="C807" s="45"/>
      <c r="D807" s="45"/>
      <c r="E807" s="45"/>
      <c r="F807" s="45"/>
    </row>
    <row r="808" spans="3:6" ht="15.75" customHeight="1" x14ac:dyDescent="0.2">
      <c r="C808" s="45"/>
      <c r="D808" s="45"/>
      <c r="E808" s="45"/>
      <c r="F808" s="45"/>
    </row>
    <row r="809" spans="3:6" ht="15.75" customHeight="1" x14ac:dyDescent="0.2">
      <c r="C809" s="45"/>
      <c r="D809" s="45"/>
      <c r="E809" s="45"/>
      <c r="F809" s="45"/>
    </row>
    <row r="810" spans="3:6" ht="15.75" customHeight="1" x14ac:dyDescent="0.2">
      <c r="C810" s="45"/>
      <c r="D810" s="45"/>
      <c r="E810" s="45"/>
      <c r="F810" s="45"/>
    </row>
    <row r="811" spans="3:6" ht="15.75" customHeight="1" x14ac:dyDescent="0.2">
      <c r="C811" s="45"/>
      <c r="D811" s="45"/>
      <c r="E811" s="45"/>
      <c r="F811" s="45"/>
    </row>
    <row r="812" spans="3:6" ht="15.75" customHeight="1" x14ac:dyDescent="0.2">
      <c r="C812" s="45"/>
      <c r="D812" s="45"/>
      <c r="E812" s="45"/>
      <c r="F812" s="45"/>
    </row>
    <row r="813" spans="3:6" ht="15.75" customHeight="1" x14ac:dyDescent="0.2">
      <c r="C813" s="45"/>
      <c r="D813" s="45"/>
      <c r="E813" s="45"/>
      <c r="F813" s="45"/>
    </row>
    <row r="814" spans="3:6" ht="15.75" customHeight="1" x14ac:dyDescent="0.2">
      <c r="C814" s="45"/>
      <c r="D814" s="45"/>
      <c r="E814" s="45"/>
      <c r="F814" s="45"/>
    </row>
    <row r="815" spans="3:6" ht="15.75" customHeight="1" x14ac:dyDescent="0.2">
      <c r="C815" s="45"/>
      <c r="D815" s="45"/>
      <c r="E815" s="45"/>
      <c r="F815" s="45"/>
    </row>
    <row r="816" spans="3:6" ht="15.75" customHeight="1" x14ac:dyDescent="0.2">
      <c r="C816" s="45"/>
      <c r="D816" s="45"/>
      <c r="E816" s="45"/>
      <c r="F816" s="45"/>
    </row>
    <row r="817" spans="3:6" ht="15.75" customHeight="1" x14ac:dyDescent="0.2">
      <c r="C817" s="45"/>
      <c r="D817" s="45"/>
      <c r="E817" s="45"/>
      <c r="F817" s="45"/>
    </row>
    <row r="818" spans="3:6" ht="15.75" customHeight="1" x14ac:dyDescent="0.2">
      <c r="C818" s="45"/>
      <c r="D818" s="45"/>
      <c r="E818" s="45"/>
      <c r="F818" s="45"/>
    </row>
    <row r="819" spans="3:6" ht="15.75" customHeight="1" x14ac:dyDescent="0.2">
      <c r="C819" s="45"/>
      <c r="D819" s="45"/>
      <c r="E819" s="45"/>
      <c r="F819" s="45"/>
    </row>
    <row r="820" spans="3:6" ht="15.75" customHeight="1" x14ac:dyDescent="0.2">
      <c r="C820" s="45"/>
      <c r="D820" s="45"/>
      <c r="E820" s="45"/>
      <c r="F820" s="45"/>
    </row>
    <row r="821" spans="3:6" ht="15.75" customHeight="1" x14ac:dyDescent="0.2">
      <c r="C821" s="45"/>
      <c r="D821" s="45"/>
      <c r="E821" s="45"/>
      <c r="F821" s="45"/>
    </row>
    <row r="822" spans="3:6" ht="15.75" customHeight="1" x14ac:dyDescent="0.2">
      <c r="C822" s="45"/>
      <c r="D822" s="45"/>
      <c r="E822" s="45"/>
      <c r="F822" s="45"/>
    </row>
    <row r="823" spans="3:6" ht="15.75" customHeight="1" x14ac:dyDescent="0.2">
      <c r="C823" s="45"/>
      <c r="D823" s="45"/>
      <c r="E823" s="45"/>
      <c r="F823" s="45"/>
    </row>
    <row r="824" spans="3:6" ht="15.75" customHeight="1" x14ac:dyDescent="0.2">
      <c r="C824" s="45"/>
      <c r="D824" s="45"/>
      <c r="E824" s="45"/>
      <c r="F824" s="45"/>
    </row>
    <row r="825" spans="3:6" ht="15.75" customHeight="1" x14ac:dyDescent="0.2">
      <c r="C825" s="45"/>
      <c r="D825" s="45"/>
      <c r="E825" s="45"/>
      <c r="F825" s="45"/>
    </row>
    <row r="826" spans="3:6" ht="15.75" customHeight="1" x14ac:dyDescent="0.2">
      <c r="C826" s="45"/>
      <c r="D826" s="45"/>
      <c r="E826" s="45"/>
      <c r="F826" s="45"/>
    </row>
    <row r="827" spans="3:6" ht="15.75" customHeight="1" x14ac:dyDescent="0.2">
      <c r="C827" s="45"/>
      <c r="D827" s="45"/>
      <c r="E827" s="45"/>
      <c r="F827" s="45"/>
    </row>
    <row r="828" spans="3:6" ht="15.75" customHeight="1" x14ac:dyDescent="0.2">
      <c r="C828" s="45"/>
      <c r="D828" s="45"/>
      <c r="E828" s="45"/>
      <c r="F828" s="45"/>
    </row>
    <row r="829" spans="3:6" ht="15.75" customHeight="1" x14ac:dyDescent="0.2">
      <c r="C829" s="45"/>
      <c r="D829" s="45"/>
      <c r="E829" s="45"/>
      <c r="F829" s="45"/>
    </row>
    <row r="830" spans="3:6" ht="15.75" customHeight="1" x14ac:dyDescent="0.2">
      <c r="C830" s="45"/>
      <c r="D830" s="45"/>
      <c r="E830" s="45"/>
      <c r="F830" s="45"/>
    </row>
    <row r="831" spans="3:6" ht="15.75" customHeight="1" x14ac:dyDescent="0.2">
      <c r="C831" s="45"/>
      <c r="D831" s="45"/>
      <c r="E831" s="45"/>
      <c r="F831" s="45"/>
    </row>
    <row r="832" spans="3:6" ht="15.75" customHeight="1" x14ac:dyDescent="0.2">
      <c r="C832" s="45"/>
      <c r="D832" s="45"/>
      <c r="E832" s="45"/>
      <c r="F832" s="45"/>
    </row>
    <row r="833" spans="3:6" ht="15.75" customHeight="1" x14ac:dyDescent="0.2">
      <c r="C833" s="45"/>
      <c r="D833" s="45"/>
      <c r="E833" s="45"/>
      <c r="F833" s="45"/>
    </row>
    <row r="834" spans="3:6" ht="15.75" customHeight="1" x14ac:dyDescent="0.2">
      <c r="C834" s="45"/>
      <c r="D834" s="45"/>
      <c r="E834" s="45"/>
      <c r="F834" s="45"/>
    </row>
    <row r="835" spans="3:6" ht="15.75" customHeight="1" x14ac:dyDescent="0.2">
      <c r="C835" s="45"/>
      <c r="D835" s="45"/>
      <c r="E835" s="45"/>
      <c r="F835" s="45"/>
    </row>
    <row r="836" spans="3:6" ht="15.75" customHeight="1" x14ac:dyDescent="0.2">
      <c r="C836" s="45"/>
      <c r="D836" s="45"/>
      <c r="E836" s="45"/>
      <c r="F836" s="45"/>
    </row>
    <row r="837" spans="3:6" ht="15.75" customHeight="1" x14ac:dyDescent="0.2">
      <c r="C837" s="45"/>
      <c r="D837" s="45"/>
      <c r="E837" s="45"/>
      <c r="F837" s="45"/>
    </row>
    <row r="838" spans="3:6" ht="15.75" customHeight="1" x14ac:dyDescent="0.2">
      <c r="C838" s="45"/>
      <c r="D838" s="45"/>
      <c r="E838" s="45"/>
      <c r="F838" s="45"/>
    </row>
    <row r="839" spans="3:6" ht="15.75" customHeight="1" x14ac:dyDescent="0.2">
      <c r="C839" s="45"/>
      <c r="D839" s="45"/>
      <c r="E839" s="45"/>
      <c r="F839" s="45"/>
    </row>
    <row r="840" spans="3:6" ht="15.75" customHeight="1" x14ac:dyDescent="0.2">
      <c r="C840" s="45"/>
      <c r="D840" s="45"/>
      <c r="E840" s="45"/>
      <c r="F840" s="45"/>
    </row>
    <row r="841" spans="3:6" ht="15.75" customHeight="1" x14ac:dyDescent="0.2">
      <c r="C841" s="45"/>
      <c r="D841" s="45"/>
      <c r="E841" s="45"/>
      <c r="F841" s="45"/>
    </row>
    <row r="842" spans="3:6" ht="15.75" customHeight="1" x14ac:dyDescent="0.2">
      <c r="C842" s="45"/>
      <c r="D842" s="45"/>
      <c r="E842" s="45"/>
      <c r="F842" s="45"/>
    </row>
    <row r="843" spans="3:6" ht="15.75" customHeight="1" x14ac:dyDescent="0.2">
      <c r="C843" s="45"/>
      <c r="D843" s="45"/>
      <c r="E843" s="45"/>
      <c r="F843" s="45"/>
    </row>
    <row r="844" spans="3:6" ht="15.75" customHeight="1" x14ac:dyDescent="0.2">
      <c r="C844" s="45"/>
      <c r="D844" s="45"/>
      <c r="E844" s="45"/>
      <c r="F844" s="45"/>
    </row>
    <row r="845" spans="3:6" ht="15.75" customHeight="1" x14ac:dyDescent="0.2">
      <c r="C845" s="45"/>
      <c r="D845" s="45"/>
      <c r="E845" s="45"/>
      <c r="F845" s="45"/>
    </row>
    <row r="846" spans="3:6" ht="15.75" customHeight="1" x14ac:dyDescent="0.2">
      <c r="C846" s="45"/>
      <c r="D846" s="45"/>
      <c r="E846" s="45"/>
      <c r="F846" s="45"/>
    </row>
    <row r="847" spans="3:6" ht="15.75" customHeight="1" x14ac:dyDescent="0.2">
      <c r="C847" s="45"/>
      <c r="D847" s="45"/>
      <c r="E847" s="45"/>
      <c r="F847" s="45"/>
    </row>
    <row r="848" spans="3:6" ht="15.75" customHeight="1" x14ac:dyDescent="0.2">
      <c r="C848" s="45"/>
      <c r="D848" s="45"/>
      <c r="E848" s="45"/>
      <c r="F848" s="45"/>
    </row>
    <row r="849" spans="3:6" ht="15.75" customHeight="1" x14ac:dyDescent="0.2">
      <c r="C849" s="45"/>
      <c r="D849" s="45"/>
      <c r="E849" s="45"/>
      <c r="F849" s="45"/>
    </row>
    <row r="850" spans="3:6" ht="15.75" customHeight="1" x14ac:dyDescent="0.2">
      <c r="C850" s="45"/>
      <c r="D850" s="45"/>
      <c r="E850" s="45"/>
      <c r="F850" s="45"/>
    </row>
    <row r="851" spans="3:6" ht="15.75" customHeight="1" x14ac:dyDescent="0.2">
      <c r="C851" s="45"/>
      <c r="D851" s="45"/>
      <c r="E851" s="45"/>
      <c r="F851" s="45"/>
    </row>
    <row r="852" spans="3:6" ht="15.75" customHeight="1" x14ac:dyDescent="0.2">
      <c r="C852" s="45"/>
      <c r="D852" s="45"/>
      <c r="E852" s="45"/>
      <c r="F852" s="45"/>
    </row>
    <row r="853" spans="3:6" ht="15.75" customHeight="1" x14ac:dyDescent="0.2">
      <c r="C853" s="45"/>
      <c r="D853" s="45"/>
      <c r="E853" s="45"/>
      <c r="F853" s="45"/>
    </row>
    <row r="854" spans="3:6" ht="15.75" customHeight="1" x14ac:dyDescent="0.2">
      <c r="C854" s="45"/>
      <c r="D854" s="45"/>
      <c r="E854" s="45"/>
      <c r="F854" s="45"/>
    </row>
    <row r="855" spans="3:6" ht="15.75" customHeight="1" x14ac:dyDescent="0.2">
      <c r="C855" s="45"/>
      <c r="D855" s="45"/>
      <c r="E855" s="45"/>
      <c r="F855" s="45"/>
    </row>
    <row r="856" spans="3:6" ht="15.75" customHeight="1" x14ac:dyDescent="0.2">
      <c r="C856" s="45"/>
      <c r="D856" s="45"/>
      <c r="E856" s="45"/>
      <c r="F856" s="45"/>
    </row>
    <row r="857" spans="3:6" ht="15.75" customHeight="1" x14ac:dyDescent="0.2">
      <c r="C857" s="45"/>
      <c r="D857" s="45"/>
      <c r="E857" s="45"/>
      <c r="F857" s="45"/>
    </row>
    <row r="858" spans="3:6" ht="15.75" customHeight="1" x14ac:dyDescent="0.2">
      <c r="C858" s="45"/>
      <c r="D858" s="45"/>
      <c r="E858" s="45"/>
      <c r="F858" s="45"/>
    </row>
    <row r="859" spans="3:6" ht="15.75" customHeight="1" x14ac:dyDescent="0.2">
      <c r="C859" s="45"/>
      <c r="D859" s="45"/>
      <c r="E859" s="45"/>
      <c r="F859" s="45"/>
    </row>
    <row r="860" spans="3:6" ht="15.75" customHeight="1" x14ac:dyDescent="0.2">
      <c r="C860" s="45"/>
      <c r="D860" s="45"/>
      <c r="E860" s="45"/>
      <c r="F860" s="45"/>
    </row>
    <row r="861" spans="3:6" ht="15.75" customHeight="1" x14ac:dyDescent="0.2">
      <c r="C861" s="45"/>
      <c r="D861" s="45"/>
      <c r="E861" s="45"/>
      <c r="F861" s="45"/>
    </row>
    <row r="862" spans="3:6" ht="15.75" customHeight="1" x14ac:dyDescent="0.2">
      <c r="C862" s="45"/>
      <c r="D862" s="45"/>
      <c r="E862" s="45"/>
      <c r="F862" s="45"/>
    </row>
    <row r="863" spans="3:6" ht="15.75" customHeight="1" x14ac:dyDescent="0.2">
      <c r="C863" s="45"/>
      <c r="D863" s="45"/>
      <c r="E863" s="45"/>
      <c r="F863" s="45"/>
    </row>
    <row r="864" spans="3:6" ht="15.75" customHeight="1" x14ac:dyDescent="0.2">
      <c r="C864" s="45"/>
      <c r="D864" s="45"/>
      <c r="E864" s="45"/>
      <c r="F864" s="45"/>
    </row>
    <row r="865" spans="3:6" ht="15.75" customHeight="1" x14ac:dyDescent="0.2">
      <c r="C865" s="45"/>
      <c r="D865" s="45"/>
      <c r="E865" s="45"/>
      <c r="F865" s="45"/>
    </row>
    <row r="866" spans="3:6" ht="15.75" customHeight="1" x14ac:dyDescent="0.2">
      <c r="C866" s="45"/>
      <c r="D866" s="45"/>
      <c r="E866" s="45"/>
      <c r="F866" s="45"/>
    </row>
    <row r="867" spans="3:6" ht="15.75" customHeight="1" x14ac:dyDescent="0.2">
      <c r="C867" s="45"/>
      <c r="D867" s="45"/>
      <c r="E867" s="45"/>
      <c r="F867" s="45"/>
    </row>
    <row r="868" spans="3:6" ht="15.75" customHeight="1" x14ac:dyDescent="0.2">
      <c r="C868" s="45"/>
      <c r="D868" s="45"/>
      <c r="E868" s="45"/>
      <c r="F868" s="45"/>
    </row>
    <row r="869" spans="3:6" ht="15.75" customHeight="1" x14ac:dyDescent="0.2">
      <c r="C869" s="45"/>
      <c r="D869" s="45"/>
      <c r="E869" s="45"/>
      <c r="F869" s="45"/>
    </row>
    <row r="870" spans="3:6" ht="15.75" customHeight="1" x14ac:dyDescent="0.2">
      <c r="C870" s="45"/>
      <c r="D870" s="45"/>
      <c r="E870" s="45"/>
      <c r="F870" s="45"/>
    </row>
    <row r="871" spans="3:6" ht="15.75" customHeight="1" x14ac:dyDescent="0.2">
      <c r="C871" s="45"/>
      <c r="D871" s="45"/>
      <c r="E871" s="45"/>
      <c r="F871" s="45"/>
    </row>
    <row r="872" spans="3:6" ht="15.75" customHeight="1" x14ac:dyDescent="0.2">
      <c r="C872" s="45"/>
      <c r="D872" s="45"/>
      <c r="E872" s="45"/>
      <c r="F872" s="45"/>
    </row>
    <row r="873" spans="3:6" ht="15.75" customHeight="1" x14ac:dyDescent="0.2">
      <c r="C873" s="45"/>
      <c r="D873" s="45"/>
      <c r="E873" s="45"/>
      <c r="F873" s="45"/>
    </row>
    <row r="874" spans="3:6" ht="15.75" customHeight="1" x14ac:dyDescent="0.2">
      <c r="C874" s="45"/>
      <c r="D874" s="45"/>
      <c r="E874" s="45"/>
      <c r="F874" s="45"/>
    </row>
    <row r="875" spans="3:6" ht="15.75" customHeight="1" x14ac:dyDescent="0.2">
      <c r="C875" s="45"/>
      <c r="D875" s="45"/>
      <c r="E875" s="45"/>
      <c r="F875" s="45"/>
    </row>
    <row r="876" spans="3:6" ht="15.75" customHeight="1" x14ac:dyDescent="0.2">
      <c r="C876" s="45"/>
      <c r="D876" s="45"/>
      <c r="E876" s="45"/>
      <c r="F876" s="45"/>
    </row>
    <row r="877" spans="3:6" ht="15.75" customHeight="1" x14ac:dyDescent="0.2">
      <c r="C877" s="45"/>
      <c r="D877" s="45"/>
      <c r="E877" s="45"/>
      <c r="F877" s="45"/>
    </row>
    <row r="878" spans="3:6" ht="15.75" customHeight="1" x14ac:dyDescent="0.2">
      <c r="C878" s="45"/>
      <c r="D878" s="45"/>
      <c r="E878" s="45"/>
      <c r="F878" s="45"/>
    </row>
    <row r="879" spans="3:6" ht="15.75" customHeight="1" x14ac:dyDescent="0.2">
      <c r="C879" s="45"/>
      <c r="D879" s="45"/>
      <c r="E879" s="45"/>
      <c r="F879" s="45"/>
    </row>
    <row r="880" spans="3:6" ht="15.75" customHeight="1" x14ac:dyDescent="0.2">
      <c r="C880" s="45"/>
      <c r="D880" s="45"/>
      <c r="E880" s="45"/>
      <c r="F880" s="45"/>
    </row>
    <row r="881" spans="3:6" ht="15.75" customHeight="1" x14ac:dyDescent="0.2">
      <c r="C881" s="45"/>
      <c r="D881" s="45"/>
      <c r="E881" s="45"/>
      <c r="F881" s="45"/>
    </row>
    <row r="882" spans="3:6" ht="15.75" customHeight="1" x14ac:dyDescent="0.2">
      <c r="C882" s="45"/>
      <c r="D882" s="45"/>
      <c r="E882" s="45"/>
      <c r="F882" s="45"/>
    </row>
    <row r="883" spans="3:6" ht="15.75" customHeight="1" x14ac:dyDescent="0.2">
      <c r="C883" s="45"/>
      <c r="D883" s="45"/>
      <c r="E883" s="45"/>
      <c r="F883" s="45"/>
    </row>
    <row r="884" spans="3:6" ht="15.75" customHeight="1" x14ac:dyDescent="0.2">
      <c r="C884" s="45"/>
      <c r="D884" s="45"/>
      <c r="E884" s="45"/>
      <c r="F884" s="45"/>
    </row>
    <row r="885" spans="3:6" ht="15.75" customHeight="1" x14ac:dyDescent="0.2">
      <c r="C885" s="45"/>
      <c r="D885" s="45"/>
      <c r="E885" s="45"/>
      <c r="F885" s="45"/>
    </row>
    <row r="886" spans="3:6" ht="15.75" customHeight="1" x14ac:dyDescent="0.2">
      <c r="C886" s="45"/>
      <c r="D886" s="45"/>
      <c r="E886" s="45"/>
      <c r="F886" s="45"/>
    </row>
    <row r="887" spans="3:6" ht="15.75" customHeight="1" x14ac:dyDescent="0.2">
      <c r="C887" s="45"/>
      <c r="D887" s="45"/>
      <c r="E887" s="45"/>
      <c r="F887" s="45"/>
    </row>
    <row r="888" spans="3:6" ht="15.75" customHeight="1" x14ac:dyDescent="0.2">
      <c r="C888" s="45"/>
      <c r="D888" s="45"/>
      <c r="E888" s="45"/>
      <c r="F888" s="45"/>
    </row>
    <row r="889" spans="3:6" ht="15.75" customHeight="1" x14ac:dyDescent="0.2">
      <c r="C889" s="45"/>
      <c r="D889" s="45"/>
      <c r="E889" s="45"/>
      <c r="F889" s="45"/>
    </row>
    <row r="890" spans="3:6" ht="15.75" customHeight="1" x14ac:dyDescent="0.2">
      <c r="C890" s="45"/>
      <c r="D890" s="45"/>
      <c r="E890" s="45"/>
      <c r="F890" s="45"/>
    </row>
    <row r="891" spans="3:6" ht="15.75" customHeight="1" x14ac:dyDescent="0.2">
      <c r="C891" s="45"/>
      <c r="D891" s="45"/>
      <c r="E891" s="45"/>
      <c r="F891" s="45"/>
    </row>
    <row r="892" spans="3:6" ht="15.75" customHeight="1" x14ac:dyDescent="0.2">
      <c r="C892" s="45"/>
      <c r="D892" s="45"/>
      <c r="E892" s="45"/>
      <c r="F892" s="45"/>
    </row>
    <row r="893" spans="3:6" ht="15.75" customHeight="1" x14ac:dyDescent="0.2">
      <c r="C893" s="45"/>
      <c r="D893" s="45"/>
      <c r="E893" s="45"/>
      <c r="F893" s="45"/>
    </row>
    <row r="894" spans="3:6" ht="15.75" customHeight="1" x14ac:dyDescent="0.2">
      <c r="C894" s="45"/>
      <c r="D894" s="45"/>
      <c r="E894" s="45"/>
      <c r="F894" s="45"/>
    </row>
    <row r="895" spans="3:6" ht="15.75" customHeight="1" x14ac:dyDescent="0.2">
      <c r="C895" s="45"/>
      <c r="D895" s="45"/>
      <c r="E895" s="45"/>
      <c r="F895" s="45"/>
    </row>
    <row r="896" spans="3:6" ht="15.75" customHeight="1" x14ac:dyDescent="0.2">
      <c r="C896" s="45"/>
      <c r="D896" s="45"/>
      <c r="E896" s="45"/>
      <c r="F896" s="45"/>
    </row>
    <row r="897" spans="3:6" ht="15.75" customHeight="1" x14ac:dyDescent="0.2">
      <c r="C897" s="45"/>
      <c r="D897" s="45"/>
      <c r="E897" s="45"/>
      <c r="F897" s="45"/>
    </row>
    <row r="898" spans="3:6" ht="15.75" customHeight="1" x14ac:dyDescent="0.2">
      <c r="C898" s="45"/>
      <c r="D898" s="45"/>
      <c r="E898" s="45"/>
      <c r="F898" s="45"/>
    </row>
    <row r="899" spans="3:6" ht="15.75" customHeight="1" x14ac:dyDescent="0.2">
      <c r="C899" s="45"/>
      <c r="D899" s="45"/>
      <c r="E899" s="45"/>
      <c r="F899" s="45"/>
    </row>
    <row r="900" spans="3:6" ht="15.75" customHeight="1" x14ac:dyDescent="0.2">
      <c r="C900" s="45"/>
      <c r="D900" s="45"/>
      <c r="E900" s="45"/>
      <c r="F900" s="45"/>
    </row>
    <row r="901" spans="3:6" ht="15.75" customHeight="1" x14ac:dyDescent="0.2">
      <c r="C901" s="45"/>
      <c r="D901" s="45"/>
      <c r="E901" s="45"/>
      <c r="F901" s="45"/>
    </row>
    <row r="902" spans="3:6" ht="15.75" customHeight="1" x14ac:dyDescent="0.2">
      <c r="C902" s="45"/>
      <c r="D902" s="45"/>
      <c r="E902" s="45"/>
      <c r="F902" s="45"/>
    </row>
    <row r="903" spans="3:6" ht="15.75" customHeight="1" x14ac:dyDescent="0.2">
      <c r="C903" s="45"/>
      <c r="D903" s="45"/>
      <c r="E903" s="45"/>
      <c r="F903" s="45"/>
    </row>
    <row r="904" spans="3:6" ht="15.75" customHeight="1" x14ac:dyDescent="0.2">
      <c r="C904" s="45"/>
      <c r="D904" s="45"/>
      <c r="E904" s="45"/>
      <c r="F904" s="45"/>
    </row>
    <row r="905" spans="3:6" ht="15.75" customHeight="1" x14ac:dyDescent="0.2">
      <c r="C905" s="45"/>
      <c r="D905" s="45"/>
      <c r="E905" s="45"/>
      <c r="F905" s="45"/>
    </row>
    <row r="906" spans="3:6" ht="15.75" customHeight="1" x14ac:dyDescent="0.2">
      <c r="C906" s="45"/>
      <c r="D906" s="45"/>
      <c r="E906" s="45"/>
      <c r="F906" s="45"/>
    </row>
    <row r="907" spans="3:6" ht="15.75" customHeight="1" x14ac:dyDescent="0.2">
      <c r="C907" s="45"/>
      <c r="D907" s="45"/>
      <c r="E907" s="45"/>
      <c r="F907" s="45"/>
    </row>
    <row r="908" spans="3:6" ht="15.75" customHeight="1" x14ac:dyDescent="0.2">
      <c r="C908" s="45"/>
      <c r="D908" s="45"/>
      <c r="E908" s="45"/>
      <c r="F908" s="45"/>
    </row>
    <row r="909" spans="3:6" ht="15.75" customHeight="1" x14ac:dyDescent="0.2">
      <c r="C909" s="45"/>
      <c r="D909" s="45"/>
      <c r="E909" s="45"/>
      <c r="F909" s="45"/>
    </row>
    <row r="910" spans="3:6" ht="15.75" customHeight="1" x14ac:dyDescent="0.2">
      <c r="C910" s="45"/>
      <c r="D910" s="45"/>
      <c r="E910" s="45"/>
      <c r="F910" s="45"/>
    </row>
    <row r="911" spans="3:6" ht="15.75" customHeight="1" x14ac:dyDescent="0.2">
      <c r="C911" s="45"/>
      <c r="D911" s="45"/>
      <c r="E911" s="45"/>
      <c r="F911" s="45"/>
    </row>
    <row r="912" spans="3:6" ht="15.75" customHeight="1" x14ac:dyDescent="0.2">
      <c r="C912" s="45"/>
      <c r="D912" s="45"/>
      <c r="E912" s="45"/>
      <c r="F912" s="45"/>
    </row>
    <row r="913" spans="3:6" ht="15.75" customHeight="1" x14ac:dyDescent="0.2">
      <c r="C913" s="45"/>
      <c r="D913" s="45"/>
      <c r="E913" s="45"/>
      <c r="F913" s="45"/>
    </row>
    <row r="914" spans="3:6" ht="15.75" customHeight="1" x14ac:dyDescent="0.2">
      <c r="C914" s="45"/>
      <c r="D914" s="45"/>
      <c r="E914" s="45"/>
      <c r="F914" s="45"/>
    </row>
    <row r="915" spans="3:6" ht="15.75" customHeight="1" x14ac:dyDescent="0.2">
      <c r="C915" s="45"/>
      <c r="D915" s="45"/>
      <c r="E915" s="45"/>
      <c r="F915" s="45"/>
    </row>
    <row r="916" spans="3:6" ht="15.75" customHeight="1" x14ac:dyDescent="0.2">
      <c r="C916" s="45"/>
      <c r="D916" s="45"/>
      <c r="E916" s="45"/>
      <c r="F916" s="45"/>
    </row>
    <row r="917" spans="3:6" ht="15.75" customHeight="1" x14ac:dyDescent="0.2">
      <c r="C917" s="45"/>
      <c r="D917" s="45"/>
      <c r="E917" s="45"/>
      <c r="F917" s="45"/>
    </row>
    <row r="918" spans="3:6" ht="15.75" customHeight="1" x14ac:dyDescent="0.2">
      <c r="C918" s="45"/>
      <c r="D918" s="45"/>
      <c r="E918" s="45"/>
      <c r="F918" s="45"/>
    </row>
    <row r="919" spans="3:6" ht="15.75" customHeight="1" x14ac:dyDescent="0.2">
      <c r="C919" s="45"/>
      <c r="D919" s="45"/>
      <c r="E919" s="45"/>
      <c r="F919" s="45"/>
    </row>
    <row r="920" spans="3:6" ht="15.75" customHeight="1" x14ac:dyDescent="0.2">
      <c r="C920" s="45"/>
      <c r="D920" s="45"/>
      <c r="E920" s="45"/>
      <c r="F920" s="45"/>
    </row>
    <row r="921" spans="3:6" ht="15.75" customHeight="1" x14ac:dyDescent="0.2">
      <c r="C921" s="45"/>
      <c r="D921" s="45"/>
      <c r="E921" s="45"/>
      <c r="F921" s="45"/>
    </row>
    <row r="922" spans="3:6" ht="15.75" customHeight="1" x14ac:dyDescent="0.2">
      <c r="C922" s="45"/>
      <c r="D922" s="45"/>
      <c r="E922" s="45"/>
      <c r="F922" s="45"/>
    </row>
    <row r="923" spans="3:6" ht="15.75" customHeight="1" x14ac:dyDescent="0.2">
      <c r="C923" s="45"/>
      <c r="D923" s="45"/>
      <c r="E923" s="45"/>
      <c r="F923" s="45"/>
    </row>
    <row r="924" spans="3:6" ht="15.75" customHeight="1" x14ac:dyDescent="0.2">
      <c r="C924" s="45"/>
      <c r="D924" s="45"/>
      <c r="E924" s="45"/>
      <c r="F924" s="45"/>
    </row>
    <row r="925" spans="3:6" ht="15.75" customHeight="1" x14ac:dyDescent="0.2">
      <c r="C925" s="45"/>
      <c r="D925" s="45"/>
      <c r="E925" s="45"/>
      <c r="F925" s="45"/>
    </row>
    <row r="926" spans="3:6" ht="15.75" customHeight="1" x14ac:dyDescent="0.2">
      <c r="C926" s="45"/>
      <c r="D926" s="45"/>
      <c r="E926" s="45"/>
      <c r="F926" s="45"/>
    </row>
    <row r="927" spans="3:6" ht="15.75" customHeight="1" x14ac:dyDescent="0.2">
      <c r="C927" s="45"/>
      <c r="D927" s="45"/>
      <c r="E927" s="45"/>
      <c r="F927" s="45"/>
    </row>
    <row r="928" spans="3:6" ht="15.75" customHeight="1" x14ac:dyDescent="0.2">
      <c r="C928" s="45"/>
      <c r="D928" s="45"/>
      <c r="E928" s="45"/>
      <c r="F928" s="45"/>
    </row>
    <row r="929" spans="3:6" ht="15.75" customHeight="1" x14ac:dyDescent="0.2">
      <c r="C929" s="45"/>
      <c r="D929" s="45"/>
      <c r="E929" s="45"/>
      <c r="F929" s="45"/>
    </row>
    <row r="930" spans="3:6" ht="15.75" customHeight="1" x14ac:dyDescent="0.2">
      <c r="C930" s="45"/>
      <c r="D930" s="45"/>
      <c r="E930" s="45"/>
      <c r="F930" s="45"/>
    </row>
    <row r="931" spans="3:6" ht="15.75" customHeight="1" x14ac:dyDescent="0.2">
      <c r="C931" s="45"/>
      <c r="D931" s="45"/>
      <c r="E931" s="45"/>
      <c r="F931" s="45"/>
    </row>
    <row r="932" spans="3:6" ht="15.75" customHeight="1" x14ac:dyDescent="0.2">
      <c r="C932" s="45"/>
      <c r="D932" s="45"/>
      <c r="E932" s="45"/>
      <c r="F932" s="45"/>
    </row>
    <row r="933" spans="3:6" ht="15.75" customHeight="1" x14ac:dyDescent="0.2">
      <c r="C933" s="45"/>
      <c r="D933" s="45"/>
      <c r="E933" s="45"/>
      <c r="F933" s="45"/>
    </row>
    <row r="934" spans="3:6" ht="15.75" customHeight="1" x14ac:dyDescent="0.2">
      <c r="C934" s="45"/>
      <c r="D934" s="45"/>
      <c r="E934" s="45"/>
      <c r="F934" s="45"/>
    </row>
    <row r="935" spans="3:6" ht="15.75" customHeight="1" x14ac:dyDescent="0.2">
      <c r="C935" s="45"/>
      <c r="D935" s="45"/>
      <c r="E935" s="45"/>
      <c r="F935" s="45"/>
    </row>
    <row r="936" spans="3:6" ht="15.75" customHeight="1" x14ac:dyDescent="0.2">
      <c r="C936" s="45"/>
      <c r="D936" s="45"/>
      <c r="E936" s="45"/>
      <c r="F936" s="45"/>
    </row>
    <row r="937" spans="3:6" ht="15.75" customHeight="1" x14ac:dyDescent="0.2">
      <c r="C937" s="45"/>
      <c r="D937" s="45"/>
      <c r="E937" s="45"/>
      <c r="F937" s="45"/>
    </row>
    <row r="938" spans="3:6" ht="15.75" customHeight="1" x14ac:dyDescent="0.2">
      <c r="C938" s="45"/>
      <c r="D938" s="45"/>
      <c r="E938" s="45"/>
      <c r="F938" s="45"/>
    </row>
    <row r="939" spans="3:6" ht="15.75" customHeight="1" x14ac:dyDescent="0.2">
      <c r="C939" s="45"/>
      <c r="D939" s="45"/>
      <c r="E939" s="45"/>
      <c r="F939" s="45"/>
    </row>
    <row r="940" spans="3:6" ht="15.75" customHeight="1" x14ac:dyDescent="0.2">
      <c r="C940" s="45"/>
      <c r="D940" s="45"/>
      <c r="E940" s="45"/>
      <c r="F940" s="45"/>
    </row>
    <row r="941" spans="3:6" ht="15.75" customHeight="1" x14ac:dyDescent="0.2">
      <c r="C941" s="45"/>
      <c r="D941" s="45"/>
      <c r="E941" s="45"/>
      <c r="F941" s="45"/>
    </row>
    <row r="942" spans="3:6" ht="15.75" customHeight="1" x14ac:dyDescent="0.2">
      <c r="C942" s="45"/>
      <c r="D942" s="45"/>
      <c r="E942" s="45"/>
      <c r="F942" s="45"/>
    </row>
    <row r="943" spans="3:6" ht="15.75" customHeight="1" x14ac:dyDescent="0.2">
      <c r="C943" s="45"/>
      <c r="D943" s="45"/>
      <c r="E943" s="45"/>
      <c r="F943" s="45"/>
    </row>
    <row r="944" spans="3:6" ht="15.75" customHeight="1" x14ac:dyDescent="0.2">
      <c r="C944" s="45"/>
      <c r="D944" s="45"/>
      <c r="E944" s="45"/>
      <c r="F944" s="45"/>
    </row>
    <row r="945" spans="3:6" ht="15.75" customHeight="1" x14ac:dyDescent="0.2">
      <c r="C945" s="45"/>
      <c r="D945" s="45"/>
      <c r="E945" s="45"/>
      <c r="F945" s="45"/>
    </row>
    <row r="946" spans="3:6" ht="15.75" customHeight="1" x14ac:dyDescent="0.2">
      <c r="C946" s="45"/>
      <c r="D946" s="45"/>
      <c r="E946" s="45"/>
      <c r="F946" s="45"/>
    </row>
    <row r="947" spans="3:6" ht="15.75" customHeight="1" x14ac:dyDescent="0.2">
      <c r="C947" s="45"/>
      <c r="D947" s="45"/>
      <c r="E947" s="45"/>
      <c r="F947" s="45"/>
    </row>
    <row r="948" spans="3:6" ht="15.75" customHeight="1" x14ac:dyDescent="0.2">
      <c r="C948" s="45"/>
      <c r="D948" s="45"/>
      <c r="E948" s="45"/>
      <c r="F948" s="45"/>
    </row>
    <row r="949" spans="3:6" ht="15.75" customHeight="1" x14ac:dyDescent="0.2">
      <c r="C949" s="45"/>
      <c r="D949" s="45"/>
      <c r="E949" s="45"/>
      <c r="F949" s="45"/>
    </row>
    <row r="950" spans="3:6" ht="15.75" customHeight="1" x14ac:dyDescent="0.2">
      <c r="C950" s="45"/>
      <c r="D950" s="45"/>
      <c r="E950" s="45"/>
      <c r="F950" s="45"/>
    </row>
    <row r="951" spans="3:6" ht="15.75" customHeight="1" x14ac:dyDescent="0.2">
      <c r="C951" s="45"/>
      <c r="D951" s="45"/>
      <c r="E951" s="45"/>
      <c r="F951" s="45"/>
    </row>
    <row r="952" spans="3:6" ht="15.75" customHeight="1" x14ac:dyDescent="0.2">
      <c r="C952" s="45"/>
      <c r="D952" s="45"/>
      <c r="E952" s="45"/>
      <c r="F952" s="45"/>
    </row>
    <row r="953" spans="3:6" ht="15.75" customHeight="1" x14ac:dyDescent="0.2">
      <c r="C953" s="45"/>
      <c r="D953" s="45"/>
      <c r="E953" s="45"/>
      <c r="F953" s="45"/>
    </row>
    <row r="954" spans="3:6" ht="15.75" customHeight="1" x14ac:dyDescent="0.2">
      <c r="C954" s="45"/>
      <c r="D954" s="45"/>
      <c r="E954" s="45"/>
      <c r="F954" s="45"/>
    </row>
    <row r="955" spans="3:6" ht="15.75" customHeight="1" x14ac:dyDescent="0.2">
      <c r="C955" s="45"/>
      <c r="D955" s="45"/>
      <c r="E955" s="45"/>
      <c r="F955" s="45"/>
    </row>
    <row r="956" spans="3:6" ht="15.75" customHeight="1" x14ac:dyDescent="0.2">
      <c r="C956" s="45"/>
      <c r="D956" s="45"/>
      <c r="E956" s="45"/>
      <c r="F956" s="45"/>
    </row>
    <row r="957" spans="3:6" ht="15.75" customHeight="1" x14ac:dyDescent="0.2">
      <c r="C957" s="45"/>
      <c r="D957" s="45"/>
      <c r="E957" s="45"/>
      <c r="F957" s="45"/>
    </row>
    <row r="958" spans="3:6" ht="15.75" customHeight="1" x14ac:dyDescent="0.2">
      <c r="C958" s="45"/>
      <c r="D958" s="45"/>
      <c r="E958" s="45"/>
      <c r="F958" s="45"/>
    </row>
    <row r="959" spans="3:6" ht="15.75" customHeight="1" x14ac:dyDescent="0.2">
      <c r="C959" s="45"/>
      <c r="D959" s="45"/>
      <c r="E959" s="45"/>
      <c r="F959" s="45"/>
    </row>
    <row r="960" spans="3:6" ht="15.75" customHeight="1" x14ac:dyDescent="0.2">
      <c r="C960" s="45"/>
      <c r="D960" s="45"/>
      <c r="E960" s="45"/>
      <c r="F960" s="45"/>
    </row>
    <row r="961" spans="3:6" ht="15.75" customHeight="1" x14ac:dyDescent="0.2">
      <c r="C961" s="45"/>
      <c r="D961" s="45"/>
      <c r="E961" s="45"/>
      <c r="F961" s="45"/>
    </row>
    <row r="962" spans="3:6" ht="15.75" customHeight="1" x14ac:dyDescent="0.2">
      <c r="C962" s="45"/>
      <c r="D962" s="45"/>
      <c r="E962" s="45"/>
      <c r="F962" s="45"/>
    </row>
    <row r="963" spans="3:6" ht="15.75" customHeight="1" x14ac:dyDescent="0.2">
      <c r="C963" s="45"/>
      <c r="D963" s="45"/>
      <c r="E963" s="45"/>
      <c r="F963" s="45"/>
    </row>
    <row r="964" spans="3:6" ht="15.75" customHeight="1" x14ac:dyDescent="0.2">
      <c r="C964" s="45"/>
      <c r="D964" s="45"/>
      <c r="E964" s="45"/>
      <c r="F964" s="45"/>
    </row>
    <row r="965" spans="3:6" ht="15.75" customHeight="1" x14ac:dyDescent="0.2">
      <c r="C965" s="45"/>
      <c r="D965" s="45"/>
      <c r="E965" s="45"/>
      <c r="F965" s="45"/>
    </row>
    <row r="966" spans="3:6" ht="15.75" customHeight="1" x14ac:dyDescent="0.2">
      <c r="C966" s="45"/>
      <c r="D966" s="45"/>
      <c r="E966" s="45"/>
      <c r="F966" s="45"/>
    </row>
    <row r="967" spans="3:6" ht="15.75" customHeight="1" x14ac:dyDescent="0.2">
      <c r="C967" s="45"/>
      <c r="D967" s="45"/>
      <c r="E967" s="45"/>
      <c r="F967" s="45"/>
    </row>
    <row r="968" spans="3:6" ht="15.75" customHeight="1" x14ac:dyDescent="0.2">
      <c r="C968" s="45"/>
      <c r="D968" s="45"/>
      <c r="E968" s="45"/>
      <c r="F968" s="45"/>
    </row>
    <row r="969" spans="3:6" ht="15.75" customHeight="1" x14ac:dyDescent="0.2">
      <c r="C969" s="45"/>
      <c r="D969" s="45"/>
      <c r="E969" s="45"/>
      <c r="F969" s="45"/>
    </row>
    <row r="970" spans="3:6" ht="15.75" customHeight="1" x14ac:dyDescent="0.2">
      <c r="C970" s="45"/>
      <c r="D970" s="45"/>
      <c r="E970" s="45"/>
      <c r="F970" s="45"/>
    </row>
    <row r="971" spans="3:6" ht="15.75" customHeight="1" x14ac:dyDescent="0.2">
      <c r="C971" s="45"/>
      <c r="D971" s="45"/>
      <c r="E971" s="45"/>
      <c r="F971" s="45"/>
    </row>
    <row r="972" spans="3:6" ht="15.75" customHeight="1" x14ac:dyDescent="0.2">
      <c r="C972" s="45"/>
      <c r="D972" s="45"/>
      <c r="E972" s="45"/>
      <c r="F972" s="45"/>
    </row>
    <row r="973" spans="3:6" ht="15.75" customHeight="1" x14ac:dyDescent="0.2">
      <c r="C973" s="45"/>
      <c r="D973" s="45"/>
      <c r="E973" s="45"/>
      <c r="F973" s="45"/>
    </row>
    <row r="974" spans="3:6" ht="15.75" customHeight="1" x14ac:dyDescent="0.2">
      <c r="C974" s="45"/>
      <c r="D974" s="45"/>
      <c r="E974" s="45"/>
      <c r="F974" s="45"/>
    </row>
    <row r="975" spans="3:6" ht="15.75" customHeight="1" x14ac:dyDescent="0.2">
      <c r="C975" s="45"/>
      <c r="D975" s="45"/>
      <c r="E975" s="45"/>
      <c r="F975" s="45"/>
    </row>
    <row r="976" spans="3:6" ht="15.75" customHeight="1" x14ac:dyDescent="0.2">
      <c r="C976" s="45"/>
      <c r="D976" s="45"/>
      <c r="E976" s="45"/>
      <c r="F976" s="45"/>
    </row>
    <row r="977" spans="3:6" ht="15.75" customHeight="1" x14ac:dyDescent="0.2">
      <c r="C977" s="45"/>
      <c r="D977" s="45"/>
      <c r="E977" s="45"/>
      <c r="F977" s="45"/>
    </row>
    <row r="978" spans="3:6" ht="15.75" customHeight="1" x14ac:dyDescent="0.2">
      <c r="C978" s="45"/>
      <c r="D978" s="45"/>
      <c r="E978" s="45"/>
      <c r="F978" s="45"/>
    </row>
    <row r="979" spans="3:6" ht="15.75" customHeight="1" x14ac:dyDescent="0.2">
      <c r="C979" s="45"/>
      <c r="D979" s="45"/>
      <c r="E979" s="45"/>
      <c r="F979" s="45"/>
    </row>
    <row r="980" spans="3:6" ht="15.75" customHeight="1" x14ac:dyDescent="0.2">
      <c r="C980" s="45"/>
      <c r="D980" s="45"/>
      <c r="E980" s="45"/>
      <c r="F980" s="45"/>
    </row>
    <row r="981" spans="3:6" ht="15.75" customHeight="1" x14ac:dyDescent="0.2">
      <c r="C981" s="45"/>
      <c r="D981" s="45"/>
      <c r="E981" s="45"/>
      <c r="F981" s="45"/>
    </row>
    <row r="982" spans="3:6" ht="15.75" customHeight="1" x14ac:dyDescent="0.2">
      <c r="C982" s="45"/>
      <c r="D982" s="45"/>
      <c r="E982" s="45"/>
      <c r="F982" s="45"/>
    </row>
    <row r="983" spans="3:6" ht="15.75" customHeight="1" x14ac:dyDescent="0.2">
      <c r="C983" s="45"/>
      <c r="D983" s="45"/>
      <c r="E983" s="45"/>
      <c r="F983" s="45"/>
    </row>
    <row r="984" spans="3:6" ht="15.75" customHeight="1" x14ac:dyDescent="0.2">
      <c r="C984" s="45"/>
      <c r="D984" s="45"/>
      <c r="E984" s="45"/>
      <c r="F984" s="45"/>
    </row>
    <row r="985" spans="3:6" ht="15.75" customHeight="1" x14ac:dyDescent="0.2">
      <c r="C985" s="45"/>
      <c r="D985" s="45"/>
      <c r="E985" s="45"/>
      <c r="F985" s="45"/>
    </row>
    <row r="986" spans="3:6" ht="15.75" customHeight="1" x14ac:dyDescent="0.2">
      <c r="C986" s="45"/>
      <c r="D986" s="45"/>
      <c r="E986" s="45"/>
      <c r="F986" s="45"/>
    </row>
    <row r="987" spans="3:6" ht="15.75" customHeight="1" x14ac:dyDescent="0.2">
      <c r="C987" s="45"/>
      <c r="D987" s="45"/>
      <c r="E987" s="45"/>
      <c r="F987" s="45"/>
    </row>
    <row r="988" spans="3:6" ht="15.75" customHeight="1" x14ac:dyDescent="0.2">
      <c r="C988" s="45"/>
      <c r="D988" s="45"/>
      <c r="E988" s="45"/>
      <c r="F988" s="45"/>
    </row>
    <row r="989" spans="3:6" ht="15.75" customHeight="1" x14ac:dyDescent="0.2">
      <c r="C989" s="45"/>
      <c r="D989" s="45"/>
      <c r="E989" s="45"/>
      <c r="F989" s="45"/>
    </row>
    <row r="990" spans="3:6" ht="15.75" customHeight="1" x14ac:dyDescent="0.2">
      <c r="C990" s="45"/>
      <c r="D990" s="45"/>
      <c r="E990" s="45"/>
      <c r="F990" s="45"/>
    </row>
    <row r="991" spans="3:6" ht="15.75" customHeight="1" x14ac:dyDescent="0.2">
      <c r="C991" s="45"/>
      <c r="D991" s="45"/>
      <c r="E991" s="45"/>
      <c r="F991" s="45"/>
    </row>
    <row r="992" spans="3:6" ht="15.75" customHeight="1" x14ac:dyDescent="0.2">
      <c r="C992" s="45"/>
      <c r="D992" s="45"/>
      <c r="E992" s="45"/>
      <c r="F992" s="45"/>
    </row>
    <row r="993" spans="3:6" ht="15.75" customHeight="1" x14ac:dyDescent="0.2">
      <c r="C993" s="45"/>
      <c r="D993" s="45"/>
      <c r="E993" s="45"/>
      <c r="F993" s="45"/>
    </row>
    <row r="994" spans="3:6" ht="15.75" customHeight="1" x14ac:dyDescent="0.2">
      <c r="C994" s="45"/>
      <c r="D994" s="45"/>
      <c r="E994" s="45"/>
      <c r="F994" s="45"/>
    </row>
    <row r="995" spans="3:6" ht="15.75" customHeight="1" x14ac:dyDescent="0.2">
      <c r="C995" s="45"/>
      <c r="D995" s="45"/>
      <c r="E995" s="45"/>
      <c r="F995" s="45"/>
    </row>
    <row r="996" spans="3:6" ht="15.75" customHeight="1" x14ac:dyDescent="0.2">
      <c r="C996" s="45"/>
      <c r="D996" s="45"/>
      <c r="E996" s="45"/>
      <c r="F996" s="45"/>
    </row>
    <row r="997" spans="3:6" ht="15.75" customHeight="1" x14ac:dyDescent="0.2">
      <c r="C997" s="45"/>
      <c r="D997" s="45"/>
      <c r="E997" s="45"/>
      <c r="F997" s="45"/>
    </row>
    <row r="998" spans="3:6" ht="15.75" customHeight="1" x14ac:dyDescent="0.2">
      <c r="C998" s="45"/>
      <c r="D998" s="45"/>
      <c r="E998" s="45"/>
      <c r="F998" s="45"/>
    </row>
    <row r="999" spans="3:6" ht="15.75" customHeight="1" x14ac:dyDescent="0.2">
      <c r="C999" s="45"/>
      <c r="D999" s="45"/>
      <c r="E999" s="45"/>
      <c r="F999" s="45"/>
    </row>
  </sheetData>
  <sheetProtection algorithmName="SHA-512" hashValue="RC5mrLvLqhISzd3CsvpS6Fqa/w6T2uiss8ZstPiAPW6WUuALlNZFs6IVfzTkWkvLcG+LOvLRk/PLx3AqjrFDeg==" saltValue="EZXfQnRGSsq8SSfOX0C0Cg==" spinCount="100000" sheet="1" objects="1" scenarios="1" selectLockedCells="1"/>
  <protectedRanges>
    <protectedRange algorithmName="SHA-512" hashValue="qn0QpLg/uzcmOg1WZpG/2pZ8R6fg1YmxQvXSA8D/9PyH2UlKAq7ckp4v837hsKT/VEtYIQ0i26ZsSmUAtXQQdA==" saltValue="eaOI5csOCV0lisNYgpRfPA==" spinCount="100000" sqref="C13 A15:C15" name="Campos"/>
    <protectedRange algorithmName="SHA-512" hashValue="qn0QpLg/uzcmOg1WZpG/2pZ8R6fg1YmxQvXSA8D/9PyH2UlKAq7ckp4v837hsKT/VEtYIQ0i26ZsSmUAtXQQdA==" saltValue="eaOI5csOCV0lisNYgpRfPA==" spinCount="100000" sqref="C3:C12" name="Campos_1"/>
    <protectedRange algorithmName="SHA-512" hashValue="qn0QpLg/uzcmOg1WZpG/2pZ8R6fg1YmxQvXSA8D/9PyH2UlKAq7ckp4v837hsKT/VEtYIQ0i26ZsSmUAtXQQdA==" saltValue="eaOI5csOCV0lisNYgpRfPA==" spinCount="100000" sqref="A3:B12" name="Campos_1_1_2"/>
  </protectedRanges>
  <mergeCells count="3">
    <mergeCell ref="A1:F1"/>
    <mergeCell ref="B13:C13"/>
    <mergeCell ref="D13:E13"/>
  </mergeCells>
  <pageMargins left="0.74803149606299213" right="0.74803149606299213" top="0.39370078740157483" bottom="0.39370078740157483" header="0.98425196850393704" footer="0.98425196850393704"/>
  <pageSetup paperSize="9" fitToWidth="0" fitToHeight="0" orientation="landscape" r:id="rId1"/>
  <headerFooter alignWithMargins="0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58C37-E6EF-40C7-8145-DEA2A9465DAE}">
  <sheetPr codeName="Planilha2"/>
  <dimension ref="A1:AA999"/>
  <sheetViews>
    <sheetView showGridLines="0" showRowColHeaders="0" zoomScaleNormal="100" workbookViewId="0">
      <selection activeCell="A10" sqref="A10"/>
    </sheetView>
  </sheetViews>
  <sheetFormatPr defaultColWidth="13.42578125" defaultRowHeight="15" customHeight="1" outlineLevelCol="1" x14ac:dyDescent="0.2"/>
  <cols>
    <col min="1" max="1" width="19.28515625" style="38" customWidth="1"/>
    <col min="2" max="2" width="16" style="38" customWidth="1"/>
    <col min="3" max="3" width="19.28515625" style="38" customWidth="1"/>
    <col min="4" max="4" width="17.7109375" style="38" customWidth="1"/>
    <col min="5" max="5" width="21.85546875" style="38" customWidth="1"/>
    <col min="6" max="6" width="35.7109375" style="38" customWidth="1"/>
    <col min="7" max="7" width="14.42578125" style="17" customWidth="1"/>
    <col min="8" max="8" width="14.85546875" style="17" hidden="1" customWidth="1" outlineLevel="1"/>
    <col min="9" max="9" width="21" style="17" hidden="1" customWidth="1" outlineLevel="1"/>
    <col min="10" max="10" width="12.140625" style="18" hidden="1" customWidth="1" outlineLevel="1"/>
    <col min="11" max="11" width="14" style="17" customWidth="1" collapsed="1"/>
    <col min="12" max="13" width="14" style="17" customWidth="1"/>
    <col min="14" max="14" width="15" style="19" customWidth="1"/>
    <col min="15" max="15" width="9.140625" style="19" customWidth="1"/>
    <col min="16" max="16" width="9.140625" style="19" customWidth="1" collapsed="1"/>
    <col min="17" max="27" width="9.140625" style="17" customWidth="1" collapsed="1"/>
    <col min="28" max="16384" width="13.42578125" style="17"/>
  </cols>
  <sheetData>
    <row r="1" spans="1:12" ht="39.950000000000003" customHeight="1" x14ac:dyDescent="0.2">
      <c r="A1" s="13" t="s">
        <v>33</v>
      </c>
      <c r="B1" s="14"/>
      <c r="C1" s="14"/>
      <c r="D1" s="14"/>
      <c r="E1" s="14"/>
      <c r="F1" s="64"/>
      <c r="G1" s="65"/>
    </row>
    <row r="2" spans="1:12" ht="33" customHeight="1" x14ac:dyDescent="0.2">
      <c r="A2" s="20" t="s">
        <v>0</v>
      </c>
      <c r="B2" s="21" t="s">
        <v>1</v>
      </c>
      <c r="C2" s="21" t="s">
        <v>2</v>
      </c>
      <c r="D2" s="22" t="s">
        <v>3</v>
      </c>
      <c r="E2" s="21" t="s">
        <v>4</v>
      </c>
      <c r="F2" s="23" t="s">
        <v>5</v>
      </c>
      <c r="H2" s="24" t="s">
        <v>5</v>
      </c>
      <c r="I2" s="24" t="str">
        <f>Constantes!B1</f>
        <v>Peso por injetado(kg)</v>
      </c>
      <c r="J2" s="18" t="s">
        <v>35</v>
      </c>
    </row>
    <row r="3" spans="1:12" ht="41.25" customHeight="1" x14ac:dyDescent="0.2">
      <c r="A3" s="4"/>
      <c r="B3" s="5"/>
      <c r="C3" s="5"/>
      <c r="D3" s="9" t="str">
        <f>IF(A3&lt;&gt;"",B3-C3,"")</f>
        <v/>
      </c>
      <c r="E3" s="10" t="str">
        <f>IF(A3&lt;&gt;"",ROUNDUP(((B3/$I$5)*$I$7)/3600,0)&amp;" horas","")</f>
        <v/>
      </c>
      <c r="F3" s="25" t="str">
        <f>IF(A3&lt;&gt;"",H3&amp;"kg "&amp;$I$9&amp;" + "&amp;ROUNDUP(H3*$I$13,2)&amp;"kg pigmento","")</f>
        <v/>
      </c>
      <c r="H3" s="24">
        <f>((B3/$I$5)*$I$3)*1.1</f>
        <v>0</v>
      </c>
      <c r="I3" s="24">
        <v>0.03</v>
      </c>
      <c r="J3" s="19">
        <f>ROUNDUP((Tabela13[[#This Row],[Quantidade]]*$I$7)/3600,0)</f>
        <v>0</v>
      </c>
    </row>
    <row r="4" spans="1:12" ht="41.25" customHeight="1" x14ac:dyDescent="0.2">
      <c r="A4" s="6"/>
      <c r="B4" s="11"/>
      <c r="C4" s="11"/>
      <c r="D4" s="26" t="str">
        <f t="shared" ref="D4:D15" si="0">IF(A4&lt;&gt;"",B4-C4,"")</f>
        <v/>
      </c>
      <c r="E4" s="27" t="str">
        <f>IF(A4&lt;&gt;"",ROUNDUP(((B4/$I$5)*$I$7)/3600,0)&amp;" horas","")</f>
        <v/>
      </c>
      <c r="F4" s="28" t="str">
        <f>IF(A4&lt;&gt;"",H4&amp;"kg "&amp;$I$9&amp;" + "&amp;ROUNDUP(H4*$I$13,2)&amp;"kg pigmento","")</f>
        <v/>
      </c>
      <c r="H4" s="24">
        <f>((B4/$I$5)*$I$3)*1.1</f>
        <v>0</v>
      </c>
      <c r="I4" s="24" t="str">
        <f>Constantes!C1</f>
        <v>Peças por injetado</v>
      </c>
      <c r="J4" s="19">
        <f>ROUNDUP((Tabela13[[#This Row],[Quantidade]]*$I$7)/3600,0)</f>
        <v>0</v>
      </c>
      <c r="K4" s="24"/>
      <c r="L4" s="29"/>
    </row>
    <row r="5" spans="1:12" ht="41.25" customHeight="1" x14ac:dyDescent="0.2">
      <c r="A5" s="6"/>
      <c r="B5" s="11"/>
      <c r="C5" s="11"/>
      <c r="D5" s="26" t="str">
        <f t="shared" si="0"/>
        <v/>
      </c>
      <c r="E5" s="27" t="str">
        <f>IF(A5&lt;&gt;"",ROUNDUP(((B5/$I$5)*$I$7)/3600,0)&amp;" horas","")</f>
        <v/>
      </c>
      <c r="F5" s="28" t="str">
        <f>IF(A5&lt;&gt;"",H5&amp;"kg "&amp;$I$9&amp;" + "&amp;ROUNDUP(H5*$I$13,2)&amp;"kg pigmento","")</f>
        <v/>
      </c>
      <c r="H5" s="24">
        <f>((B5/$I$5)*$I$3)*1.1</f>
        <v>0</v>
      </c>
      <c r="I5" s="24">
        <f>Constantes!$C$2</f>
        <v>1</v>
      </c>
      <c r="J5" s="19">
        <f>ROUNDUP((Tabela13[[#This Row],[Quantidade]]*$I$7)/3600,0)</f>
        <v>0</v>
      </c>
      <c r="K5" s="24"/>
      <c r="L5" s="29"/>
    </row>
    <row r="6" spans="1:12" ht="41.25" customHeight="1" x14ac:dyDescent="0.2">
      <c r="A6" s="6"/>
      <c r="B6" s="11"/>
      <c r="C6" s="11"/>
      <c r="D6" s="26" t="str">
        <f t="shared" si="0"/>
        <v/>
      </c>
      <c r="E6" s="27" t="str">
        <f>IF(A6&lt;&gt;"",ROUNDUP(((B6/$I$5)*$I$7)/3600,0)&amp;" horas","")</f>
        <v/>
      </c>
      <c r="F6" s="28" t="str">
        <f>IF(A6&lt;&gt;"",H6&amp;"kg "&amp;$I$9&amp;" + "&amp;ROUNDUP(H6*$I$13,2)&amp;"kg pigmento","")</f>
        <v/>
      </c>
      <c r="H6" s="24">
        <f>((B6/$I$5)*$I$3)*1.1</f>
        <v>0</v>
      </c>
      <c r="I6" s="24" t="str">
        <f>Constantes!D1</f>
        <v>Tempo de ciclo (seg)</v>
      </c>
      <c r="J6" s="19">
        <f>ROUNDUP((Tabela13[[#This Row],[Quantidade]]*$I$7)/3600,0)</f>
        <v>0</v>
      </c>
      <c r="K6" s="24"/>
      <c r="L6" s="29"/>
    </row>
    <row r="7" spans="1:12" ht="41.25" customHeight="1" x14ac:dyDescent="0.2">
      <c r="A7" s="6"/>
      <c r="B7" s="11"/>
      <c r="C7" s="11"/>
      <c r="D7" s="26" t="str">
        <f t="shared" si="0"/>
        <v/>
      </c>
      <c r="E7" s="27" t="str">
        <f>IF(A7&lt;&gt;"",ROUNDUP(((B7/$I$5)*$I$7)/3600,0)&amp;" horas","")</f>
        <v/>
      </c>
      <c r="F7" s="28" t="str">
        <f>IF(A7&lt;&gt;"",H7&amp;"kg "&amp;$I$9&amp;" + "&amp;ROUNDUP(H7*$I$13,2)&amp;"kg pigmento","")</f>
        <v/>
      </c>
      <c r="H7" s="24">
        <f>((B7/$I$5)*$I$3)*1.1</f>
        <v>0</v>
      </c>
      <c r="I7" s="24">
        <v>14</v>
      </c>
      <c r="J7" s="19">
        <f>ROUNDUP((Tabela13[[#This Row],[Quantidade]]*$I$7)/3600,0)</f>
        <v>0</v>
      </c>
      <c r="K7" s="24"/>
      <c r="L7" s="29"/>
    </row>
    <row r="8" spans="1:12" ht="41.25" customHeight="1" x14ac:dyDescent="0.2">
      <c r="A8" s="6"/>
      <c r="B8" s="11"/>
      <c r="C8" s="11"/>
      <c r="D8" s="26" t="str">
        <f t="shared" si="0"/>
        <v/>
      </c>
      <c r="E8" s="27" t="str">
        <f>IF(A8&lt;&gt;"",ROUNDUP(((B8/$I$5)*$I$7)/3600,0)&amp;" horas","")</f>
        <v/>
      </c>
      <c r="F8" s="28" t="str">
        <f>IF(A8&lt;&gt;"",H8&amp;"kg "&amp;$I$9&amp;" + "&amp;ROUNDUP(H8*$I$13,2)&amp;"kg pigmento","")</f>
        <v/>
      </c>
      <c r="H8" s="24">
        <f>((B8/$I$5)*$I$3)*1.1</f>
        <v>0</v>
      </c>
      <c r="I8" s="24" t="str">
        <f>Constantes!E1</f>
        <v>Material</v>
      </c>
      <c r="J8" s="19">
        <f>ROUNDUP((Tabela13[[#This Row],[Quantidade]]*$I$7)/3600,0)</f>
        <v>0</v>
      </c>
      <c r="K8" s="24"/>
      <c r="L8" s="29"/>
    </row>
    <row r="9" spans="1:12" ht="41.25" customHeight="1" x14ac:dyDescent="0.2">
      <c r="A9" s="6"/>
      <c r="B9" s="11"/>
      <c r="C9" s="11"/>
      <c r="D9" s="26" t="str">
        <f t="shared" si="0"/>
        <v/>
      </c>
      <c r="E9" s="27" t="str">
        <f>IF(A9&lt;&gt;"",ROUNDUP(((B9/$I$5)*$I$7)/3600,0)&amp;" horas","")</f>
        <v/>
      </c>
      <c r="F9" s="28" t="str">
        <f>IF(A9&lt;&gt;"",H9&amp;"kg "&amp;$I$9&amp;" + "&amp;ROUNDUP(H9*$I$13,2)&amp;"kg pigmento","")</f>
        <v/>
      </c>
      <c r="H9" s="24">
        <f>((B9/$I$5)*$I$3)*1.1</f>
        <v>0</v>
      </c>
      <c r="I9" s="24" t="str">
        <f>Constantes!$E$2</f>
        <v>PP</v>
      </c>
      <c r="J9" s="19">
        <f>ROUNDUP((Tabela13[[#This Row],[Quantidade]]*$I$7)/3600,0)</f>
        <v>0</v>
      </c>
      <c r="K9" s="24"/>
      <c r="L9" s="29"/>
    </row>
    <row r="10" spans="1:12" ht="41.25" customHeight="1" x14ac:dyDescent="0.2">
      <c r="A10" s="6"/>
      <c r="B10" s="11"/>
      <c r="C10" s="11"/>
      <c r="D10" s="26" t="str">
        <f t="shared" si="0"/>
        <v/>
      </c>
      <c r="E10" s="27" t="str">
        <f>IF(A10&lt;&gt;"",ROUNDUP(((B10/$I$5)*$I$7)/3600,0)&amp;" horas","")</f>
        <v/>
      </c>
      <c r="F10" s="28" t="str">
        <f>IF(A10&lt;&gt;"",H10&amp;"kg "&amp;$I$9&amp;" + "&amp;ROUNDUP(H10*$I$13,2)&amp;"kg pigmento","")</f>
        <v/>
      </c>
      <c r="H10" s="24">
        <f>((B10/$I$5)*$I$3)*1.1</f>
        <v>0</v>
      </c>
      <c r="I10" s="24" t="str">
        <f>Constantes!F1</f>
        <v>Usa pigmento</v>
      </c>
      <c r="J10" s="19">
        <f>ROUNDUP((Tabela13[[#This Row],[Quantidade]]*$I$7)/3600,0)</f>
        <v>0</v>
      </c>
      <c r="K10" s="24"/>
      <c r="L10" s="29"/>
    </row>
    <row r="11" spans="1:12" ht="41.25" customHeight="1" x14ac:dyDescent="0.2">
      <c r="A11" s="6"/>
      <c r="B11" s="11"/>
      <c r="C11" s="11"/>
      <c r="D11" s="26" t="str">
        <f t="shared" si="0"/>
        <v/>
      </c>
      <c r="E11" s="27" t="str">
        <f>IF(A11&lt;&gt;"",ROUNDUP(((B11/$I$5)*$I$7)/3600,0)&amp;" horas","")</f>
        <v/>
      </c>
      <c r="F11" s="28" t="str">
        <f>IF(A11&lt;&gt;"",H11&amp;"kg "&amp;$I$9&amp;" + "&amp;ROUNDUP(H11*$I$13,2)&amp;"kg pigmento","")</f>
        <v/>
      </c>
      <c r="H11" s="24">
        <f>((B11/$I$5)*$I$3)*1.1</f>
        <v>0</v>
      </c>
      <c r="I11" s="24">
        <f>Constantes!$F$2</f>
        <v>1</v>
      </c>
      <c r="J11" s="19">
        <f>ROUNDUP((Tabela13[[#This Row],[Quantidade]]*$I$7)/3600,0)</f>
        <v>0</v>
      </c>
      <c r="K11" s="24"/>
      <c r="L11" s="29"/>
    </row>
    <row r="12" spans="1:12" ht="41.25" customHeight="1" x14ac:dyDescent="0.2">
      <c r="A12" s="12"/>
      <c r="B12" s="11"/>
      <c r="C12" s="11"/>
      <c r="D12" s="30" t="str">
        <f t="shared" si="0"/>
        <v/>
      </c>
      <c r="E12" s="31" t="str">
        <f>IF(A12&lt;&gt;"",ROUNDUP(((B12/$I$5)*$I$7)/3600,0)&amp;" horas","")</f>
        <v/>
      </c>
      <c r="F12" s="32" t="str">
        <f>IF(A12&lt;&gt;"",H12&amp;"kg "&amp;$I$9&amp;" + "&amp;ROUNDUP(H12*$I$13,2)&amp;"kg pigmento","")</f>
        <v/>
      </c>
      <c r="H12" s="24">
        <f>((B12/$I$5)*$I$3)*1.1</f>
        <v>0</v>
      </c>
      <c r="I12" s="24" t="str">
        <f>Constantes!G1</f>
        <v>% de pigmento</v>
      </c>
      <c r="J12" s="19">
        <f>ROUNDUP((Tabela13[[#This Row],[Quantidade]]*$I$7)/3600,0)</f>
        <v>0</v>
      </c>
      <c r="K12" s="24"/>
      <c r="L12" s="29"/>
    </row>
    <row r="13" spans="1:12" ht="38.25" customHeight="1" x14ac:dyDescent="0.2">
      <c r="A13" s="33" t="s">
        <v>31</v>
      </c>
      <c r="B13" s="34" t="str">
        <f>"PEÇAS: "&amp;SUM(B3:B12)</f>
        <v>PEÇAS: 0</v>
      </c>
      <c r="C13" s="35"/>
      <c r="D13" s="34" t="str">
        <f>"TEMPO: "&amp;IF(SUM($J$3:$J$12) &lt; 10,SUM($J$3:$J$12)&amp;" HORAS",ROUNDDOWN(SUM($J$3:$J$12)/10,0)&amp;" DIA(S) E "&amp;MOD(SUM($J$3:$J$12),10) &amp;" HORAS")</f>
        <v>TEMPO: 0 HORAS</v>
      </c>
      <c r="E13" s="36" t="str">
        <f>"TEMPO: "&amp;IF(SUM(TempoProd) &lt; 10,SUM(TempoProd)&amp;" HORAS",ROUNDDOWN(SUM(TempoProd)/10,0)&amp;" DIA(S) E "&amp;MOD(SUM(TempoProd),10) &amp;" HORAS")</f>
        <v>TEMPO: 0 HORAS</v>
      </c>
      <c r="F13" s="37" t="str">
        <f>"MATERIAL: "&amp;SUM(H3:H12)&amp;"kg de "&amp;Material</f>
        <v>MATERIAL: 0kg de PS</v>
      </c>
      <c r="H13" s="24"/>
      <c r="I13" s="29">
        <f>Constantes!$G$2</f>
        <v>1.7999999999999999E-2</v>
      </c>
      <c r="J13" s="19"/>
      <c r="K13" s="24"/>
      <c r="L13" s="29"/>
    </row>
    <row r="14" spans="1:12" ht="36.75" customHeight="1" x14ac:dyDescent="0.2">
      <c r="H14" s="24"/>
      <c r="I14" s="24"/>
      <c r="J14" s="39"/>
      <c r="K14" s="24"/>
      <c r="L14" s="29"/>
    </row>
    <row r="15" spans="1:12" ht="33" customHeight="1" x14ac:dyDescent="0.2">
      <c r="A15" s="40"/>
      <c r="B15" s="41"/>
      <c r="C15" s="42"/>
      <c r="D15" s="43" t="str">
        <f t="shared" si="0"/>
        <v/>
      </c>
      <c r="E15" s="40" t="str">
        <f>IF(A15&lt;&gt;"",ROUNDUP(((B15/$I$5)*$I$7)/3600,0)&amp;" horas","")</f>
        <v/>
      </c>
      <c r="F15" s="40" t="str">
        <f>IF(A15&lt;&gt;"",H15&amp;"kg "&amp;$I$9&amp;" + "&amp;ROUNDUP(H15*$I$13,2)&amp;"kg pigmento","")</f>
        <v/>
      </c>
      <c r="H15" s="24"/>
      <c r="I15" s="24"/>
      <c r="J15" s="39"/>
      <c r="K15" s="24"/>
      <c r="L15" s="29"/>
    </row>
    <row r="16" spans="1:12" ht="33" customHeight="1" x14ac:dyDescent="0.2">
      <c r="H16" s="24"/>
      <c r="I16" s="24"/>
      <c r="J16" s="39"/>
      <c r="K16" s="24"/>
      <c r="L16" s="29"/>
    </row>
    <row r="17" spans="1:14" ht="26.25" customHeight="1" x14ac:dyDescent="0.2">
      <c r="C17" s="42"/>
      <c r="D17" s="43"/>
      <c r="E17" s="40"/>
      <c r="F17" s="40"/>
      <c r="H17" s="24"/>
      <c r="I17" s="24"/>
      <c r="J17" s="39"/>
      <c r="K17" s="24"/>
      <c r="L17" s="29"/>
    </row>
    <row r="18" spans="1:14" ht="26.25" customHeight="1" x14ac:dyDescent="0.2">
      <c r="A18" s="44"/>
      <c r="B18" s="45"/>
      <c r="C18" s="46"/>
      <c r="D18" s="47"/>
      <c r="E18" s="47"/>
      <c r="F18" s="40"/>
      <c r="H18" s="24"/>
      <c r="I18" s="24"/>
      <c r="J18" s="39"/>
      <c r="K18" s="24"/>
      <c r="L18" s="29"/>
    </row>
    <row r="19" spans="1:14" ht="26.25" customHeight="1" x14ac:dyDescent="0.2">
      <c r="A19" s="44"/>
      <c r="B19" s="45"/>
      <c r="C19" s="46"/>
      <c r="D19" s="47"/>
      <c r="E19" s="47"/>
      <c r="F19" s="40"/>
      <c r="H19" s="24"/>
      <c r="I19" s="24"/>
      <c r="J19" s="39"/>
      <c r="K19" s="24"/>
      <c r="L19" s="29"/>
    </row>
    <row r="20" spans="1:14" ht="26.25" customHeight="1" x14ac:dyDescent="0.2">
      <c r="A20" s="44"/>
      <c r="B20" s="45"/>
      <c r="C20" s="46"/>
      <c r="D20" s="45"/>
      <c r="E20" s="40"/>
      <c r="F20" s="40"/>
      <c r="H20" s="24"/>
      <c r="I20" s="24"/>
      <c r="J20" s="39"/>
      <c r="K20" s="24"/>
      <c r="L20" s="24"/>
      <c r="M20" s="24"/>
      <c r="N20" s="48"/>
    </row>
    <row r="21" spans="1:14" ht="26.25" customHeight="1" x14ac:dyDescent="0.2">
      <c r="A21" s="44"/>
      <c r="B21" s="45"/>
      <c r="C21" s="46"/>
      <c r="D21" s="45"/>
      <c r="E21" s="40"/>
      <c r="F21" s="40"/>
      <c r="H21" s="24"/>
      <c r="I21" s="24"/>
      <c r="J21" s="39"/>
      <c r="K21" s="24"/>
      <c r="L21" s="24"/>
      <c r="M21" s="24"/>
      <c r="N21" s="48"/>
    </row>
    <row r="22" spans="1:14" ht="26.25" customHeight="1" x14ac:dyDescent="0.2">
      <c r="A22" s="44"/>
      <c r="B22" s="45"/>
      <c r="C22" s="46"/>
      <c r="D22" s="45"/>
      <c r="E22" s="40"/>
      <c r="F22" s="40"/>
      <c r="H22" s="24"/>
      <c r="I22" s="24"/>
      <c r="J22" s="39"/>
      <c r="K22" s="24"/>
      <c r="L22" s="24"/>
      <c r="M22" s="24"/>
      <c r="N22" s="48"/>
    </row>
    <row r="23" spans="1:14" ht="15.75" customHeight="1" x14ac:dyDescent="0.2">
      <c r="A23" s="49"/>
      <c r="B23" s="49"/>
      <c r="C23" s="46"/>
      <c r="D23" s="45"/>
      <c r="E23" s="45"/>
      <c r="F23" s="45"/>
    </row>
    <row r="24" spans="1:14" ht="15.75" customHeight="1" x14ac:dyDescent="0.2">
      <c r="A24" s="49"/>
      <c r="B24" s="49"/>
      <c r="C24" s="46"/>
      <c r="D24" s="45"/>
      <c r="E24" s="45"/>
      <c r="F24" s="45"/>
    </row>
    <row r="25" spans="1:14" ht="15.75" customHeight="1" x14ac:dyDescent="0.2">
      <c r="A25" s="49"/>
      <c r="B25" s="49"/>
      <c r="C25" s="46"/>
      <c r="D25" s="45"/>
      <c r="E25" s="45"/>
      <c r="F25" s="45"/>
    </row>
    <row r="26" spans="1:14" ht="15.75" customHeight="1" x14ac:dyDescent="0.2">
      <c r="A26" s="49"/>
      <c r="B26" s="49"/>
      <c r="C26" s="46"/>
      <c r="D26" s="45"/>
      <c r="E26" s="45"/>
      <c r="F26" s="45"/>
    </row>
    <row r="27" spans="1:14" ht="15.75" customHeight="1" x14ac:dyDescent="0.2">
      <c r="A27" s="49"/>
      <c r="B27" s="49"/>
      <c r="C27" s="46"/>
      <c r="D27" s="45"/>
      <c r="E27" s="45"/>
      <c r="F27" s="45"/>
    </row>
    <row r="28" spans="1:14" ht="15.75" customHeight="1" x14ac:dyDescent="0.2">
      <c r="A28" s="49"/>
      <c r="B28" s="49"/>
      <c r="C28" s="46"/>
      <c r="D28" s="45"/>
      <c r="E28" s="45"/>
      <c r="F28" s="45"/>
    </row>
    <row r="29" spans="1:14" ht="15.75" customHeight="1" x14ac:dyDescent="0.2">
      <c r="A29" s="49"/>
      <c r="B29" s="49"/>
      <c r="C29" s="46"/>
      <c r="D29" s="45"/>
      <c r="E29" s="45"/>
      <c r="F29" s="45"/>
    </row>
    <row r="30" spans="1:14" ht="15.75" customHeight="1" x14ac:dyDescent="0.2">
      <c r="C30" s="46"/>
      <c r="D30" s="45"/>
      <c r="E30" s="45"/>
      <c r="F30" s="45"/>
    </row>
    <row r="31" spans="1:14" ht="15.75" customHeight="1" x14ac:dyDescent="0.2">
      <c r="C31" s="46"/>
      <c r="D31" s="45"/>
      <c r="E31" s="45"/>
      <c r="F31" s="45"/>
    </row>
    <row r="32" spans="1:14" ht="15.75" customHeight="1" x14ac:dyDescent="0.2">
      <c r="C32" s="46"/>
      <c r="D32" s="45"/>
      <c r="E32" s="45"/>
      <c r="F32" s="45"/>
    </row>
    <row r="33" spans="3:6" ht="15.75" customHeight="1" x14ac:dyDescent="0.2">
      <c r="C33" s="46"/>
      <c r="D33" s="45"/>
      <c r="E33" s="45"/>
      <c r="F33" s="45"/>
    </row>
    <row r="34" spans="3:6" ht="15.75" customHeight="1" x14ac:dyDescent="0.2">
      <c r="C34" s="46"/>
      <c r="D34" s="45"/>
      <c r="E34" s="45"/>
      <c r="F34" s="45"/>
    </row>
    <row r="35" spans="3:6" ht="15.75" customHeight="1" x14ac:dyDescent="0.2">
      <c r="C35" s="46"/>
      <c r="D35" s="45"/>
      <c r="E35" s="45"/>
      <c r="F35" s="45"/>
    </row>
    <row r="36" spans="3:6" ht="15.75" customHeight="1" x14ac:dyDescent="0.2">
      <c r="C36" s="46"/>
      <c r="D36" s="45"/>
      <c r="E36" s="45"/>
      <c r="F36" s="45"/>
    </row>
    <row r="37" spans="3:6" ht="15.75" customHeight="1" x14ac:dyDescent="0.2">
      <c r="C37" s="46"/>
      <c r="D37" s="45"/>
      <c r="E37" s="45"/>
      <c r="F37" s="45"/>
    </row>
    <row r="38" spans="3:6" ht="15.75" customHeight="1" x14ac:dyDescent="0.2">
      <c r="C38" s="46"/>
      <c r="D38" s="45"/>
      <c r="E38" s="45"/>
      <c r="F38" s="45"/>
    </row>
    <row r="39" spans="3:6" ht="15.75" customHeight="1" x14ac:dyDescent="0.2">
      <c r="C39" s="46"/>
      <c r="D39" s="45"/>
      <c r="E39" s="45"/>
      <c r="F39" s="45"/>
    </row>
    <row r="40" spans="3:6" ht="15.75" customHeight="1" x14ac:dyDescent="0.2">
      <c r="C40" s="46"/>
      <c r="D40" s="45"/>
      <c r="E40" s="45"/>
      <c r="F40" s="45"/>
    </row>
    <row r="41" spans="3:6" ht="15.75" customHeight="1" x14ac:dyDescent="0.2">
      <c r="C41" s="46"/>
      <c r="D41" s="45"/>
      <c r="E41" s="45"/>
      <c r="F41" s="45"/>
    </row>
    <row r="42" spans="3:6" ht="15.75" customHeight="1" x14ac:dyDescent="0.2">
      <c r="C42" s="46"/>
      <c r="D42" s="45"/>
      <c r="E42" s="45"/>
      <c r="F42" s="45"/>
    </row>
    <row r="43" spans="3:6" ht="15.75" customHeight="1" x14ac:dyDescent="0.2">
      <c r="C43" s="46"/>
      <c r="D43" s="45"/>
      <c r="E43" s="45"/>
      <c r="F43" s="45"/>
    </row>
    <row r="44" spans="3:6" ht="15.75" customHeight="1" x14ac:dyDescent="0.2">
      <c r="C44" s="46"/>
      <c r="D44" s="45"/>
      <c r="E44" s="45"/>
      <c r="F44" s="45"/>
    </row>
    <row r="45" spans="3:6" ht="15.75" customHeight="1" x14ac:dyDescent="0.2">
      <c r="C45" s="46"/>
      <c r="D45" s="45"/>
      <c r="E45" s="45"/>
      <c r="F45" s="45"/>
    </row>
    <row r="46" spans="3:6" ht="15.75" customHeight="1" x14ac:dyDescent="0.2">
      <c r="C46" s="46"/>
      <c r="D46" s="45"/>
      <c r="E46" s="45"/>
      <c r="F46" s="45"/>
    </row>
    <row r="47" spans="3:6" ht="15.75" customHeight="1" x14ac:dyDescent="0.2">
      <c r="C47" s="46"/>
      <c r="D47" s="45"/>
      <c r="E47" s="45"/>
      <c r="F47" s="45"/>
    </row>
    <row r="48" spans="3:6" ht="15.75" customHeight="1" x14ac:dyDescent="0.2">
      <c r="C48" s="46"/>
      <c r="D48" s="45"/>
      <c r="E48" s="45"/>
      <c r="F48" s="45"/>
    </row>
    <row r="49" spans="3:6" ht="15.75" customHeight="1" x14ac:dyDescent="0.2">
      <c r="C49" s="46"/>
      <c r="D49" s="45"/>
      <c r="E49" s="45"/>
      <c r="F49" s="45"/>
    </row>
    <row r="50" spans="3:6" ht="15.75" customHeight="1" x14ac:dyDescent="0.2">
      <c r="C50" s="46"/>
      <c r="D50" s="45"/>
      <c r="E50" s="45"/>
      <c r="F50" s="45"/>
    </row>
    <row r="51" spans="3:6" ht="15.75" customHeight="1" x14ac:dyDescent="0.2">
      <c r="C51" s="46"/>
      <c r="D51" s="45"/>
      <c r="E51" s="45"/>
      <c r="F51" s="45"/>
    </row>
    <row r="52" spans="3:6" ht="15.75" customHeight="1" x14ac:dyDescent="0.2">
      <c r="C52" s="46"/>
      <c r="D52" s="45"/>
      <c r="E52" s="45"/>
      <c r="F52" s="45"/>
    </row>
    <row r="53" spans="3:6" ht="15.75" customHeight="1" x14ac:dyDescent="0.2">
      <c r="C53" s="46"/>
      <c r="D53" s="45"/>
      <c r="E53" s="45"/>
      <c r="F53" s="45"/>
    </row>
    <row r="54" spans="3:6" ht="15.75" customHeight="1" x14ac:dyDescent="0.2">
      <c r="C54" s="46"/>
      <c r="D54" s="45"/>
      <c r="E54" s="45"/>
      <c r="F54" s="45"/>
    </row>
    <row r="55" spans="3:6" ht="15.75" customHeight="1" x14ac:dyDescent="0.2">
      <c r="C55" s="46"/>
      <c r="D55" s="45"/>
      <c r="E55" s="45"/>
      <c r="F55" s="45"/>
    </row>
    <row r="56" spans="3:6" ht="15.75" customHeight="1" x14ac:dyDescent="0.2">
      <c r="C56" s="45"/>
      <c r="D56" s="45"/>
      <c r="E56" s="45"/>
      <c r="F56" s="45"/>
    </row>
    <row r="57" spans="3:6" ht="15.75" customHeight="1" x14ac:dyDescent="0.2">
      <c r="C57" s="45"/>
      <c r="D57" s="45"/>
      <c r="E57" s="45"/>
      <c r="F57" s="45"/>
    </row>
    <row r="58" spans="3:6" ht="15.75" customHeight="1" x14ac:dyDescent="0.2">
      <c r="C58" s="45"/>
      <c r="D58" s="45"/>
      <c r="E58" s="45"/>
      <c r="F58" s="45"/>
    </row>
    <row r="59" spans="3:6" ht="15.75" customHeight="1" x14ac:dyDescent="0.2">
      <c r="C59" s="45"/>
      <c r="D59" s="45"/>
      <c r="E59" s="45"/>
      <c r="F59" s="45"/>
    </row>
    <row r="60" spans="3:6" ht="15.75" customHeight="1" x14ac:dyDescent="0.2">
      <c r="C60" s="45"/>
      <c r="D60" s="45"/>
      <c r="E60" s="45"/>
      <c r="F60" s="45"/>
    </row>
    <row r="61" spans="3:6" ht="15.75" customHeight="1" x14ac:dyDescent="0.2">
      <c r="C61" s="45"/>
      <c r="D61" s="45"/>
      <c r="E61" s="45"/>
      <c r="F61" s="45"/>
    </row>
    <row r="62" spans="3:6" ht="15.75" customHeight="1" x14ac:dyDescent="0.2">
      <c r="C62" s="45"/>
      <c r="D62" s="45"/>
      <c r="E62" s="45"/>
      <c r="F62" s="45"/>
    </row>
    <row r="63" spans="3:6" ht="15.75" customHeight="1" x14ac:dyDescent="0.2">
      <c r="C63" s="45"/>
      <c r="D63" s="45"/>
      <c r="E63" s="45"/>
      <c r="F63" s="45"/>
    </row>
    <row r="64" spans="3:6" ht="15.75" customHeight="1" x14ac:dyDescent="0.2">
      <c r="C64" s="45"/>
      <c r="D64" s="45"/>
      <c r="E64" s="45"/>
      <c r="F64" s="45"/>
    </row>
    <row r="65" spans="3:6" ht="15.75" customHeight="1" x14ac:dyDescent="0.2">
      <c r="C65" s="45"/>
      <c r="D65" s="45"/>
      <c r="E65" s="45"/>
      <c r="F65" s="45"/>
    </row>
    <row r="66" spans="3:6" ht="15.75" customHeight="1" x14ac:dyDescent="0.2">
      <c r="C66" s="45"/>
      <c r="D66" s="45"/>
      <c r="E66" s="45"/>
      <c r="F66" s="45"/>
    </row>
    <row r="67" spans="3:6" ht="15.75" customHeight="1" x14ac:dyDescent="0.2">
      <c r="C67" s="45"/>
      <c r="D67" s="45"/>
      <c r="E67" s="45"/>
      <c r="F67" s="45"/>
    </row>
    <row r="68" spans="3:6" ht="15.75" customHeight="1" x14ac:dyDescent="0.2">
      <c r="C68" s="45"/>
      <c r="D68" s="45"/>
      <c r="E68" s="45"/>
      <c r="F68" s="45"/>
    </row>
    <row r="69" spans="3:6" ht="15.75" customHeight="1" x14ac:dyDescent="0.2">
      <c r="C69" s="45"/>
      <c r="D69" s="45"/>
      <c r="E69" s="45"/>
      <c r="F69" s="45"/>
    </row>
    <row r="70" spans="3:6" ht="15.75" customHeight="1" x14ac:dyDescent="0.2">
      <c r="C70" s="45"/>
      <c r="D70" s="45"/>
      <c r="E70" s="45"/>
      <c r="F70" s="45"/>
    </row>
    <row r="71" spans="3:6" ht="15.75" customHeight="1" x14ac:dyDescent="0.2">
      <c r="C71" s="45"/>
      <c r="D71" s="45"/>
      <c r="E71" s="45"/>
      <c r="F71" s="45"/>
    </row>
    <row r="72" spans="3:6" ht="15.75" customHeight="1" x14ac:dyDescent="0.2">
      <c r="C72" s="45"/>
      <c r="D72" s="45"/>
      <c r="E72" s="45"/>
      <c r="F72" s="45"/>
    </row>
    <row r="73" spans="3:6" ht="15.75" customHeight="1" x14ac:dyDescent="0.2">
      <c r="C73" s="45"/>
      <c r="D73" s="45"/>
      <c r="E73" s="45"/>
      <c r="F73" s="45"/>
    </row>
    <row r="74" spans="3:6" ht="15.75" customHeight="1" x14ac:dyDescent="0.2">
      <c r="C74" s="45"/>
      <c r="D74" s="45"/>
      <c r="E74" s="45"/>
      <c r="F74" s="45"/>
    </row>
    <row r="75" spans="3:6" ht="15.75" customHeight="1" x14ac:dyDescent="0.2">
      <c r="C75" s="45"/>
      <c r="D75" s="45"/>
      <c r="E75" s="45"/>
      <c r="F75" s="45"/>
    </row>
    <row r="76" spans="3:6" ht="15.75" customHeight="1" x14ac:dyDescent="0.2">
      <c r="C76" s="45"/>
      <c r="D76" s="45"/>
      <c r="E76" s="45"/>
      <c r="F76" s="45"/>
    </row>
    <row r="77" spans="3:6" ht="15.75" customHeight="1" x14ac:dyDescent="0.2">
      <c r="C77" s="45"/>
      <c r="D77" s="45"/>
      <c r="E77" s="45"/>
      <c r="F77" s="45"/>
    </row>
    <row r="78" spans="3:6" ht="15.75" customHeight="1" x14ac:dyDescent="0.2">
      <c r="C78" s="45"/>
      <c r="D78" s="45"/>
      <c r="E78" s="45"/>
      <c r="F78" s="45"/>
    </row>
    <row r="79" spans="3:6" ht="15.75" customHeight="1" x14ac:dyDescent="0.2">
      <c r="C79" s="45"/>
      <c r="D79" s="45"/>
      <c r="E79" s="45"/>
      <c r="F79" s="45"/>
    </row>
    <row r="80" spans="3:6" ht="15.75" customHeight="1" x14ac:dyDescent="0.2">
      <c r="C80" s="45"/>
      <c r="D80" s="45"/>
      <c r="E80" s="45"/>
      <c r="F80" s="45"/>
    </row>
    <row r="81" spans="3:6" ht="15.75" customHeight="1" x14ac:dyDescent="0.2">
      <c r="C81" s="45"/>
      <c r="D81" s="45"/>
      <c r="E81" s="45"/>
      <c r="F81" s="45"/>
    </row>
    <row r="82" spans="3:6" ht="15.75" customHeight="1" x14ac:dyDescent="0.2">
      <c r="C82" s="45"/>
      <c r="D82" s="45"/>
      <c r="E82" s="45"/>
      <c r="F82" s="45"/>
    </row>
    <row r="83" spans="3:6" ht="15.75" customHeight="1" x14ac:dyDescent="0.2">
      <c r="C83" s="45"/>
      <c r="D83" s="45"/>
      <c r="E83" s="45"/>
      <c r="F83" s="45"/>
    </row>
    <row r="84" spans="3:6" ht="15.75" customHeight="1" x14ac:dyDescent="0.2">
      <c r="C84" s="45"/>
      <c r="D84" s="45"/>
      <c r="E84" s="45"/>
      <c r="F84" s="45"/>
    </row>
    <row r="85" spans="3:6" ht="15.75" customHeight="1" x14ac:dyDescent="0.2">
      <c r="C85" s="45"/>
      <c r="D85" s="45"/>
      <c r="E85" s="45"/>
      <c r="F85" s="45"/>
    </row>
    <row r="86" spans="3:6" ht="15.75" customHeight="1" x14ac:dyDescent="0.2">
      <c r="C86" s="45"/>
      <c r="D86" s="45"/>
      <c r="E86" s="45"/>
      <c r="F86" s="45"/>
    </row>
    <row r="87" spans="3:6" ht="15.75" customHeight="1" x14ac:dyDescent="0.2">
      <c r="C87" s="45"/>
      <c r="D87" s="45"/>
      <c r="E87" s="45"/>
      <c r="F87" s="45"/>
    </row>
    <row r="88" spans="3:6" ht="15.75" customHeight="1" x14ac:dyDescent="0.2">
      <c r="C88" s="45"/>
      <c r="D88" s="45"/>
      <c r="E88" s="45"/>
      <c r="F88" s="45"/>
    </row>
    <row r="89" spans="3:6" ht="15.75" customHeight="1" x14ac:dyDescent="0.2">
      <c r="C89" s="45"/>
      <c r="D89" s="45"/>
      <c r="E89" s="45"/>
      <c r="F89" s="45"/>
    </row>
    <row r="90" spans="3:6" ht="15.75" customHeight="1" x14ac:dyDescent="0.2">
      <c r="C90" s="45"/>
      <c r="D90" s="45"/>
      <c r="E90" s="45"/>
      <c r="F90" s="45"/>
    </row>
    <row r="91" spans="3:6" ht="15.75" customHeight="1" x14ac:dyDescent="0.2">
      <c r="C91" s="45"/>
      <c r="D91" s="45"/>
      <c r="E91" s="45"/>
      <c r="F91" s="45"/>
    </row>
    <row r="92" spans="3:6" ht="15.75" customHeight="1" x14ac:dyDescent="0.2">
      <c r="C92" s="45"/>
      <c r="D92" s="45"/>
      <c r="E92" s="45"/>
      <c r="F92" s="45"/>
    </row>
    <row r="93" spans="3:6" ht="15.75" customHeight="1" x14ac:dyDescent="0.2">
      <c r="C93" s="45"/>
      <c r="D93" s="45"/>
      <c r="E93" s="45"/>
      <c r="F93" s="45"/>
    </row>
    <row r="94" spans="3:6" ht="15.75" customHeight="1" x14ac:dyDescent="0.2">
      <c r="C94" s="45"/>
      <c r="D94" s="45"/>
      <c r="E94" s="45"/>
      <c r="F94" s="45"/>
    </row>
    <row r="95" spans="3:6" ht="15.75" customHeight="1" x14ac:dyDescent="0.2">
      <c r="C95" s="45"/>
      <c r="D95" s="45"/>
      <c r="E95" s="45"/>
      <c r="F95" s="45"/>
    </row>
    <row r="96" spans="3:6" ht="15.75" customHeight="1" x14ac:dyDescent="0.2">
      <c r="C96" s="45"/>
      <c r="D96" s="45"/>
      <c r="E96" s="45"/>
      <c r="F96" s="45"/>
    </row>
    <row r="97" spans="3:6" ht="15.75" customHeight="1" x14ac:dyDescent="0.2">
      <c r="C97" s="45"/>
      <c r="D97" s="45"/>
      <c r="E97" s="45"/>
      <c r="F97" s="45"/>
    </row>
    <row r="98" spans="3:6" ht="15.75" customHeight="1" x14ac:dyDescent="0.2">
      <c r="C98" s="45"/>
      <c r="D98" s="45"/>
      <c r="E98" s="45"/>
      <c r="F98" s="45"/>
    </row>
    <row r="99" spans="3:6" ht="15.75" customHeight="1" x14ac:dyDescent="0.2">
      <c r="C99" s="45"/>
      <c r="D99" s="45"/>
      <c r="E99" s="45"/>
      <c r="F99" s="45"/>
    </row>
    <row r="100" spans="3:6" ht="15.75" customHeight="1" x14ac:dyDescent="0.2">
      <c r="C100" s="45"/>
      <c r="D100" s="45"/>
      <c r="E100" s="45"/>
      <c r="F100" s="45"/>
    </row>
    <row r="101" spans="3:6" ht="15.75" customHeight="1" x14ac:dyDescent="0.2">
      <c r="C101" s="45"/>
      <c r="D101" s="45"/>
      <c r="E101" s="45"/>
      <c r="F101" s="45"/>
    </row>
    <row r="102" spans="3:6" ht="15.75" customHeight="1" x14ac:dyDescent="0.2">
      <c r="C102" s="45"/>
      <c r="D102" s="45"/>
      <c r="E102" s="45"/>
      <c r="F102" s="45"/>
    </row>
    <row r="103" spans="3:6" ht="15.75" customHeight="1" x14ac:dyDescent="0.2">
      <c r="C103" s="45"/>
      <c r="D103" s="45"/>
      <c r="E103" s="45"/>
      <c r="F103" s="45"/>
    </row>
    <row r="104" spans="3:6" ht="15.75" customHeight="1" x14ac:dyDescent="0.2">
      <c r="C104" s="45"/>
      <c r="D104" s="45"/>
      <c r="E104" s="45"/>
      <c r="F104" s="45"/>
    </row>
    <row r="105" spans="3:6" ht="15.75" customHeight="1" x14ac:dyDescent="0.2">
      <c r="C105" s="45"/>
      <c r="D105" s="45"/>
      <c r="E105" s="45"/>
      <c r="F105" s="45"/>
    </row>
    <row r="106" spans="3:6" ht="15.75" customHeight="1" x14ac:dyDescent="0.2">
      <c r="C106" s="45"/>
      <c r="D106" s="45"/>
      <c r="E106" s="45"/>
      <c r="F106" s="45"/>
    </row>
    <row r="107" spans="3:6" ht="15.75" customHeight="1" x14ac:dyDescent="0.2">
      <c r="C107" s="45"/>
      <c r="D107" s="45"/>
      <c r="E107" s="45"/>
      <c r="F107" s="45"/>
    </row>
    <row r="108" spans="3:6" ht="15.75" customHeight="1" x14ac:dyDescent="0.2">
      <c r="C108" s="45"/>
      <c r="D108" s="45"/>
      <c r="E108" s="45"/>
      <c r="F108" s="45"/>
    </row>
    <row r="109" spans="3:6" ht="15.75" customHeight="1" x14ac:dyDescent="0.2">
      <c r="C109" s="45"/>
      <c r="D109" s="45"/>
      <c r="E109" s="45"/>
      <c r="F109" s="45"/>
    </row>
    <row r="110" spans="3:6" ht="15.75" customHeight="1" x14ac:dyDescent="0.2">
      <c r="C110" s="45"/>
      <c r="D110" s="45"/>
      <c r="E110" s="45"/>
      <c r="F110" s="45"/>
    </row>
    <row r="111" spans="3:6" ht="15.75" customHeight="1" x14ac:dyDescent="0.2">
      <c r="C111" s="45"/>
      <c r="D111" s="45"/>
      <c r="E111" s="45"/>
      <c r="F111" s="45"/>
    </row>
    <row r="112" spans="3:6" ht="15.75" customHeight="1" x14ac:dyDescent="0.2">
      <c r="C112" s="45"/>
      <c r="D112" s="45"/>
      <c r="E112" s="45"/>
      <c r="F112" s="45"/>
    </row>
    <row r="113" spans="3:6" ht="15.75" customHeight="1" x14ac:dyDescent="0.2">
      <c r="C113" s="45"/>
      <c r="D113" s="45"/>
      <c r="E113" s="45"/>
      <c r="F113" s="45"/>
    </row>
    <row r="114" spans="3:6" ht="15.75" customHeight="1" x14ac:dyDescent="0.2">
      <c r="C114" s="45"/>
      <c r="D114" s="45"/>
      <c r="E114" s="45"/>
      <c r="F114" s="45"/>
    </row>
    <row r="115" spans="3:6" ht="15.75" customHeight="1" x14ac:dyDescent="0.2">
      <c r="C115" s="45"/>
      <c r="D115" s="45"/>
      <c r="E115" s="45"/>
      <c r="F115" s="45"/>
    </row>
    <row r="116" spans="3:6" ht="15.75" customHeight="1" x14ac:dyDescent="0.2">
      <c r="C116" s="45"/>
      <c r="D116" s="45"/>
      <c r="E116" s="45"/>
      <c r="F116" s="45"/>
    </row>
    <row r="117" spans="3:6" ht="15.75" customHeight="1" x14ac:dyDescent="0.2">
      <c r="C117" s="45"/>
      <c r="D117" s="45"/>
      <c r="E117" s="45"/>
      <c r="F117" s="45"/>
    </row>
    <row r="118" spans="3:6" ht="15.75" customHeight="1" x14ac:dyDescent="0.2">
      <c r="C118" s="45"/>
      <c r="D118" s="45"/>
      <c r="E118" s="45"/>
      <c r="F118" s="45"/>
    </row>
    <row r="119" spans="3:6" ht="15.75" customHeight="1" x14ac:dyDescent="0.2">
      <c r="C119" s="45"/>
      <c r="D119" s="45"/>
      <c r="E119" s="45"/>
      <c r="F119" s="45"/>
    </row>
    <row r="120" spans="3:6" ht="15.75" customHeight="1" x14ac:dyDescent="0.2">
      <c r="C120" s="45"/>
      <c r="D120" s="45"/>
      <c r="E120" s="45"/>
      <c r="F120" s="45"/>
    </row>
    <row r="121" spans="3:6" ht="15.75" customHeight="1" x14ac:dyDescent="0.2">
      <c r="C121" s="45"/>
      <c r="D121" s="45"/>
      <c r="E121" s="45"/>
      <c r="F121" s="45"/>
    </row>
    <row r="122" spans="3:6" ht="15.75" customHeight="1" x14ac:dyDescent="0.2">
      <c r="C122" s="45"/>
      <c r="D122" s="45"/>
      <c r="E122" s="45"/>
      <c r="F122" s="45"/>
    </row>
    <row r="123" spans="3:6" ht="15.75" customHeight="1" x14ac:dyDescent="0.2">
      <c r="C123" s="45"/>
      <c r="D123" s="45"/>
      <c r="E123" s="45"/>
      <c r="F123" s="45"/>
    </row>
    <row r="124" spans="3:6" ht="15.75" customHeight="1" x14ac:dyDescent="0.2">
      <c r="C124" s="45"/>
      <c r="D124" s="45"/>
      <c r="E124" s="45"/>
      <c r="F124" s="45"/>
    </row>
    <row r="125" spans="3:6" ht="15.75" customHeight="1" x14ac:dyDescent="0.2">
      <c r="C125" s="45"/>
      <c r="D125" s="45"/>
      <c r="E125" s="45"/>
      <c r="F125" s="45"/>
    </row>
    <row r="126" spans="3:6" ht="15.75" customHeight="1" x14ac:dyDescent="0.2">
      <c r="C126" s="45"/>
      <c r="D126" s="45"/>
      <c r="E126" s="45"/>
      <c r="F126" s="45"/>
    </row>
    <row r="127" spans="3:6" ht="15.75" customHeight="1" x14ac:dyDescent="0.2">
      <c r="C127" s="45"/>
      <c r="D127" s="45"/>
      <c r="E127" s="45"/>
      <c r="F127" s="45"/>
    </row>
    <row r="128" spans="3:6" ht="15.75" customHeight="1" x14ac:dyDescent="0.2">
      <c r="C128" s="45"/>
      <c r="D128" s="45"/>
      <c r="E128" s="45"/>
      <c r="F128" s="45"/>
    </row>
    <row r="129" spans="3:6" ht="15.75" customHeight="1" x14ac:dyDescent="0.2">
      <c r="C129" s="45"/>
      <c r="D129" s="45"/>
      <c r="E129" s="45"/>
      <c r="F129" s="45"/>
    </row>
    <row r="130" spans="3:6" ht="15.75" customHeight="1" x14ac:dyDescent="0.2">
      <c r="C130" s="45"/>
      <c r="D130" s="45"/>
      <c r="E130" s="45"/>
      <c r="F130" s="45"/>
    </row>
    <row r="131" spans="3:6" ht="15.75" customHeight="1" x14ac:dyDescent="0.2">
      <c r="C131" s="45"/>
      <c r="D131" s="45"/>
      <c r="E131" s="45"/>
      <c r="F131" s="45"/>
    </row>
    <row r="132" spans="3:6" ht="15.75" customHeight="1" x14ac:dyDescent="0.2">
      <c r="C132" s="45"/>
      <c r="D132" s="45"/>
      <c r="E132" s="45"/>
      <c r="F132" s="45"/>
    </row>
    <row r="133" spans="3:6" ht="15.75" customHeight="1" x14ac:dyDescent="0.2">
      <c r="C133" s="45"/>
      <c r="D133" s="45"/>
      <c r="E133" s="45"/>
      <c r="F133" s="45"/>
    </row>
    <row r="134" spans="3:6" ht="15.75" customHeight="1" x14ac:dyDescent="0.2">
      <c r="C134" s="45"/>
      <c r="D134" s="45"/>
      <c r="E134" s="45"/>
      <c r="F134" s="45"/>
    </row>
    <row r="135" spans="3:6" ht="15.75" customHeight="1" x14ac:dyDescent="0.2">
      <c r="C135" s="45"/>
      <c r="D135" s="45"/>
      <c r="E135" s="45"/>
      <c r="F135" s="45"/>
    </row>
    <row r="136" spans="3:6" ht="15.75" customHeight="1" x14ac:dyDescent="0.2">
      <c r="C136" s="45"/>
      <c r="D136" s="45"/>
      <c r="E136" s="45"/>
      <c r="F136" s="45"/>
    </row>
    <row r="137" spans="3:6" ht="15.75" customHeight="1" x14ac:dyDescent="0.2">
      <c r="C137" s="45"/>
      <c r="D137" s="45"/>
      <c r="E137" s="45"/>
      <c r="F137" s="45"/>
    </row>
    <row r="138" spans="3:6" ht="15.75" customHeight="1" x14ac:dyDescent="0.2">
      <c r="C138" s="45"/>
      <c r="D138" s="45"/>
      <c r="E138" s="45"/>
      <c r="F138" s="45"/>
    </row>
    <row r="139" spans="3:6" ht="15.75" customHeight="1" x14ac:dyDescent="0.2">
      <c r="C139" s="45"/>
      <c r="D139" s="45"/>
      <c r="E139" s="45"/>
      <c r="F139" s="45"/>
    </row>
    <row r="140" spans="3:6" ht="15.75" customHeight="1" x14ac:dyDescent="0.2">
      <c r="C140" s="45"/>
      <c r="D140" s="45"/>
      <c r="E140" s="45"/>
      <c r="F140" s="45"/>
    </row>
    <row r="141" spans="3:6" ht="15.75" customHeight="1" x14ac:dyDescent="0.2">
      <c r="C141" s="45"/>
      <c r="D141" s="45"/>
      <c r="E141" s="45"/>
      <c r="F141" s="45"/>
    </row>
    <row r="142" spans="3:6" ht="15.75" customHeight="1" x14ac:dyDescent="0.2">
      <c r="C142" s="45"/>
      <c r="D142" s="45"/>
      <c r="E142" s="45"/>
      <c r="F142" s="45"/>
    </row>
    <row r="143" spans="3:6" ht="15.75" customHeight="1" x14ac:dyDescent="0.2">
      <c r="C143" s="45"/>
      <c r="D143" s="45"/>
      <c r="E143" s="45"/>
      <c r="F143" s="45"/>
    </row>
    <row r="144" spans="3:6" ht="15.75" customHeight="1" x14ac:dyDescent="0.2">
      <c r="C144" s="45"/>
      <c r="D144" s="45"/>
      <c r="E144" s="45"/>
      <c r="F144" s="45"/>
    </row>
    <row r="145" spans="3:6" ht="15.75" customHeight="1" x14ac:dyDescent="0.2">
      <c r="C145" s="45"/>
      <c r="D145" s="45"/>
      <c r="E145" s="45"/>
      <c r="F145" s="45"/>
    </row>
    <row r="146" spans="3:6" ht="15.75" customHeight="1" x14ac:dyDescent="0.2">
      <c r="C146" s="45"/>
      <c r="D146" s="45"/>
      <c r="E146" s="45"/>
      <c r="F146" s="45"/>
    </row>
    <row r="147" spans="3:6" ht="15.75" customHeight="1" x14ac:dyDescent="0.2">
      <c r="C147" s="45"/>
      <c r="D147" s="45"/>
      <c r="E147" s="45"/>
      <c r="F147" s="45"/>
    </row>
    <row r="148" spans="3:6" ht="15.75" customHeight="1" x14ac:dyDescent="0.2">
      <c r="C148" s="45"/>
      <c r="D148" s="45"/>
      <c r="E148" s="45"/>
      <c r="F148" s="45"/>
    </row>
    <row r="149" spans="3:6" ht="15.75" customHeight="1" x14ac:dyDescent="0.2">
      <c r="C149" s="45"/>
      <c r="D149" s="45"/>
      <c r="E149" s="45"/>
      <c r="F149" s="45"/>
    </row>
    <row r="150" spans="3:6" ht="15.75" customHeight="1" x14ac:dyDescent="0.2">
      <c r="C150" s="45"/>
      <c r="D150" s="45"/>
      <c r="E150" s="45"/>
      <c r="F150" s="45"/>
    </row>
    <row r="151" spans="3:6" ht="15.75" customHeight="1" x14ac:dyDescent="0.2">
      <c r="C151" s="45"/>
      <c r="D151" s="45"/>
      <c r="E151" s="45"/>
      <c r="F151" s="45"/>
    </row>
    <row r="152" spans="3:6" ht="15.75" customHeight="1" x14ac:dyDescent="0.2">
      <c r="C152" s="45"/>
      <c r="D152" s="45"/>
      <c r="E152" s="45"/>
      <c r="F152" s="45"/>
    </row>
    <row r="153" spans="3:6" ht="15.75" customHeight="1" x14ac:dyDescent="0.2">
      <c r="C153" s="45"/>
      <c r="D153" s="45"/>
      <c r="E153" s="45"/>
      <c r="F153" s="45"/>
    </row>
    <row r="154" spans="3:6" ht="15.75" customHeight="1" x14ac:dyDescent="0.2">
      <c r="C154" s="45"/>
      <c r="D154" s="45"/>
      <c r="E154" s="45"/>
      <c r="F154" s="45"/>
    </row>
    <row r="155" spans="3:6" ht="15.75" customHeight="1" x14ac:dyDescent="0.2">
      <c r="C155" s="45"/>
      <c r="D155" s="45"/>
      <c r="E155" s="45"/>
      <c r="F155" s="45"/>
    </row>
    <row r="156" spans="3:6" ht="15.75" customHeight="1" x14ac:dyDescent="0.2">
      <c r="C156" s="45"/>
      <c r="D156" s="45"/>
      <c r="E156" s="45"/>
      <c r="F156" s="45"/>
    </row>
    <row r="157" spans="3:6" ht="15.75" customHeight="1" x14ac:dyDescent="0.2">
      <c r="C157" s="45"/>
      <c r="D157" s="45"/>
      <c r="E157" s="45"/>
      <c r="F157" s="45"/>
    </row>
    <row r="158" spans="3:6" ht="15.75" customHeight="1" x14ac:dyDescent="0.2">
      <c r="C158" s="45"/>
      <c r="D158" s="45"/>
      <c r="E158" s="45"/>
      <c r="F158" s="45"/>
    </row>
    <row r="159" spans="3:6" ht="15.75" customHeight="1" x14ac:dyDescent="0.2">
      <c r="C159" s="45"/>
      <c r="D159" s="45"/>
      <c r="E159" s="45"/>
      <c r="F159" s="45"/>
    </row>
    <row r="160" spans="3:6" ht="15.75" customHeight="1" x14ac:dyDescent="0.2">
      <c r="C160" s="45"/>
      <c r="D160" s="45"/>
      <c r="E160" s="45"/>
      <c r="F160" s="45"/>
    </row>
    <row r="161" spans="3:6" ht="15.75" customHeight="1" x14ac:dyDescent="0.2">
      <c r="C161" s="45"/>
      <c r="D161" s="45"/>
      <c r="E161" s="45"/>
      <c r="F161" s="45"/>
    </row>
    <row r="162" spans="3:6" ht="15.75" customHeight="1" x14ac:dyDescent="0.2">
      <c r="C162" s="45"/>
      <c r="D162" s="45"/>
      <c r="E162" s="45"/>
      <c r="F162" s="45"/>
    </row>
    <row r="163" spans="3:6" ht="15.75" customHeight="1" x14ac:dyDescent="0.2">
      <c r="C163" s="45"/>
      <c r="D163" s="45"/>
      <c r="E163" s="45"/>
      <c r="F163" s="45"/>
    </row>
    <row r="164" spans="3:6" ht="15.75" customHeight="1" x14ac:dyDescent="0.2">
      <c r="C164" s="45"/>
      <c r="D164" s="45"/>
      <c r="E164" s="45"/>
      <c r="F164" s="45"/>
    </row>
    <row r="165" spans="3:6" ht="15.75" customHeight="1" x14ac:dyDescent="0.2">
      <c r="C165" s="45"/>
      <c r="D165" s="45"/>
      <c r="E165" s="45"/>
      <c r="F165" s="45"/>
    </row>
    <row r="166" spans="3:6" ht="15.75" customHeight="1" x14ac:dyDescent="0.2">
      <c r="C166" s="45"/>
      <c r="D166" s="45"/>
      <c r="E166" s="45"/>
      <c r="F166" s="45"/>
    </row>
    <row r="167" spans="3:6" ht="15.75" customHeight="1" x14ac:dyDescent="0.2">
      <c r="C167" s="45"/>
      <c r="D167" s="45"/>
      <c r="E167" s="45"/>
      <c r="F167" s="45"/>
    </row>
    <row r="168" spans="3:6" ht="15.75" customHeight="1" x14ac:dyDescent="0.2">
      <c r="C168" s="45"/>
      <c r="D168" s="45"/>
      <c r="E168" s="45"/>
      <c r="F168" s="45"/>
    </row>
    <row r="169" spans="3:6" ht="15.75" customHeight="1" x14ac:dyDescent="0.2">
      <c r="C169" s="45"/>
      <c r="D169" s="45"/>
      <c r="E169" s="45"/>
      <c r="F169" s="45"/>
    </row>
    <row r="170" spans="3:6" ht="15.75" customHeight="1" x14ac:dyDescent="0.2">
      <c r="C170" s="45"/>
      <c r="D170" s="45"/>
      <c r="E170" s="45"/>
      <c r="F170" s="45"/>
    </row>
    <row r="171" spans="3:6" ht="15.75" customHeight="1" x14ac:dyDescent="0.2">
      <c r="C171" s="45"/>
      <c r="D171" s="45"/>
      <c r="E171" s="45"/>
      <c r="F171" s="45"/>
    </row>
    <row r="172" spans="3:6" ht="15.75" customHeight="1" x14ac:dyDescent="0.2">
      <c r="C172" s="45"/>
      <c r="D172" s="45"/>
      <c r="E172" s="45"/>
      <c r="F172" s="45"/>
    </row>
    <row r="173" spans="3:6" ht="15.75" customHeight="1" x14ac:dyDescent="0.2">
      <c r="C173" s="45"/>
      <c r="D173" s="45"/>
      <c r="E173" s="45"/>
      <c r="F173" s="45"/>
    </row>
    <row r="174" spans="3:6" ht="15.75" customHeight="1" x14ac:dyDescent="0.2">
      <c r="C174" s="45"/>
      <c r="D174" s="45"/>
      <c r="E174" s="45"/>
      <c r="F174" s="45"/>
    </row>
    <row r="175" spans="3:6" ht="15.75" customHeight="1" x14ac:dyDescent="0.2">
      <c r="C175" s="45"/>
      <c r="D175" s="45"/>
      <c r="E175" s="45"/>
      <c r="F175" s="45"/>
    </row>
    <row r="176" spans="3:6" ht="15.75" customHeight="1" x14ac:dyDescent="0.2">
      <c r="C176" s="45"/>
      <c r="D176" s="45"/>
      <c r="E176" s="45"/>
      <c r="F176" s="45"/>
    </row>
    <row r="177" spans="3:6" ht="15.75" customHeight="1" x14ac:dyDescent="0.2">
      <c r="C177" s="45"/>
      <c r="D177" s="45"/>
      <c r="E177" s="45"/>
      <c r="F177" s="45"/>
    </row>
    <row r="178" spans="3:6" ht="15.75" customHeight="1" x14ac:dyDescent="0.2">
      <c r="C178" s="45"/>
      <c r="D178" s="45"/>
      <c r="E178" s="45"/>
      <c r="F178" s="45"/>
    </row>
    <row r="179" spans="3:6" ht="15.75" customHeight="1" x14ac:dyDescent="0.2">
      <c r="C179" s="45"/>
      <c r="D179" s="45"/>
      <c r="E179" s="45"/>
      <c r="F179" s="45"/>
    </row>
    <row r="180" spans="3:6" ht="15.75" customHeight="1" x14ac:dyDescent="0.2">
      <c r="C180" s="45"/>
      <c r="D180" s="45"/>
      <c r="E180" s="45"/>
      <c r="F180" s="45"/>
    </row>
    <row r="181" spans="3:6" ht="15.75" customHeight="1" x14ac:dyDescent="0.2">
      <c r="C181" s="45"/>
      <c r="D181" s="45"/>
      <c r="E181" s="45"/>
      <c r="F181" s="45"/>
    </row>
    <row r="182" spans="3:6" ht="15.75" customHeight="1" x14ac:dyDescent="0.2">
      <c r="C182" s="45"/>
      <c r="D182" s="45"/>
      <c r="E182" s="45"/>
      <c r="F182" s="45"/>
    </row>
    <row r="183" spans="3:6" ht="15.75" customHeight="1" x14ac:dyDescent="0.2">
      <c r="C183" s="45"/>
      <c r="D183" s="45"/>
      <c r="E183" s="45"/>
      <c r="F183" s="45"/>
    </row>
    <row r="184" spans="3:6" ht="15.75" customHeight="1" x14ac:dyDescent="0.2">
      <c r="C184" s="45"/>
      <c r="D184" s="45"/>
      <c r="E184" s="45"/>
      <c r="F184" s="45"/>
    </row>
    <row r="185" spans="3:6" ht="15.75" customHeight="1" x14ac:dyDescent="0.2">
      <c r="C185" s="45"/>
      <c r="D185" s="45"/>
      <c r="E185" s="45"/>
      <c r="F185" s="45"/>
    </row>
    <row r="186" spans="3:6" ht="15.75" customHeight="1" x14ac:dyDescent="0.2">
      <c r="C186" s="45"/>
      <c r="D186" s="45"/>
      <c r="E186" s="45"/>
      <c r="F186" s="45"/>
    </row>
    <row r="187" spans="3:6" ht="15.75" customHeight="1" x14ac:dyDescent="0.2">
      <c r="C187" s="45"/>
      <c r="D187" s="45"/>
      <c r="E187" s="45"/>
      <c r="F187" s="45"/>
    </row>
    <row r="188" spans="3:6" ht="15.75" customHeight="1" x14ac:dyDescent="0.2">
      <c r="C188" s="45"/>
      <c r="D188" s="45"/>
      <c r="E188" s="45"/>
      <c r="F188" s="45"/>
    </row>
    <row r="189" spans="3:6" ht="15.75" customHeight="1" x14ac:dyDescent="0.2">
      <c r="C189" s="45"/>
      <c r="D189" s="45"/>
      <c r="E189" s="45"/>
      <c r="F189" s="45"/>
    </row>
    <row r="190" spans="3:6" ht="15.75" customHeight="1" x14ac:dyDescent="0.2">
      <c r="C190" s="45"/>
      <c r="D190" s="45"/>
      <c r="E190" s="45"/>
      <c r="F190" s="45"/>
    </row>
    <row r="191" spans="3:6" ht="15.75" customHeight="1" x14ac:dyDescent="0.2">
      <c r="C191" s="45"/>
      <c r="D191" s="45"/>
      <c r="E191" s="45"/>
      <c r="F191" s="45"/>
    </row>
    <row r="192" spans="3:6" ht="15.75" customHeight="1" x14ac:dyDescent="0.2">
      <c r="C192" s="45"/>
      <c r="D192" s="45"/>
      <c r="E192" s="45"/>
      <c r="F192" s="45"/>
    </row>
    <row r="193" spans="3:6" ht="15.75" customHeight="1" x14ac:dyDescent="0.2">
      <c r="C193" s="45"/>
      <c r="D193" s="45"/>
      <c r="E193" s="45"/>
      <c r="F193" s="45"/>
    </row>
    <row r="194" spans="3:6" ht="15.75" customHeight="1" x14ac:dyDescent="0.2">
      <c r="C194" s="45"/>
      <c r="D194" s="45"/>
      <c r="E194" s="45"/>
      <c r="F194" s="45"/>
    </row>
    <row r="195" spans="3:6" ht="15.75" customHeight="1" x14ac:dyDescent="0.2">
      <c r="C195" s="45"/>
      <c r="D195" s="45"/>
      <c r="E195" s="45"/>
      <c r="F195" s="45"/>
    </row>
    <row r="196" spans="3:6" ht="15.75" customHeight="1" x14ac:dyDescent="0.2">
      <c r="C196" s="45"/>
      <c r="D196" s="45"/>
      <c r="E196" s="45"/>
      <c r="F196" s="45"/>
    </row>
    <row r="197" spans="3:6" ht="15.75" customHeight="1" x14ac:dyDescent="0.2">
      <c r="C197" s="45"/>
      <c r="D197" s="45"/>
      <c r="E197" s="45"/>
      <c r="F197" s="45"/>
    </row>
    <row r="198" spans="3:6" ht="15.75" customHeight="1" x14ac:dyDescent="0.2">
      <c r="C198" s="45"/>
      <c r="D198" s="45"/>
      <c r="E198" s="45"/>
      <c r="F198" s="45"/>
    </row>
    <row r="199" spans="3:6" ht="15.75" customHeight="1" x14ac:dyDescent="0.2">
      <c r="C199" s="45"/>
      <c r="D199" s="45"/>
      <c r="E199" s="45"/>
      <c r="F199" s="45"/>
    </row>
    <row r="200" spans="3:6" ht="15.75" customHeight="1" x14ac:dyDescent="0.2">
      <c r="C200" s="45"/>
      <c r="D200" s="45"/>
      <c r="E200" s="45"/>
      <c r="F200" s="45"/>
    </row>
    <row r="201" spans="3:6" ht="15.75" customHeight="1" x14ac:dyDescent="0.2">
      <c r="C201" s="45"/>
      <c r="D201" s="45"/>
      <c r="E201" s="45"/>
      <c r="F201" s="45"/>
    </row>
    <row r="202" spans="3:6" ht="15.75" customHeight="1" x14ac:dyDescent="0.2">
      <c r="C202" s="45"/>
      <c r="D202" s="45"/>
      <c r="E202" s="45"/>
      <c r="F202" s="45"/>
    </row>
    <row r="203" spans="3:6" ht="15.75" customHeight="1" x14ac:dyDescent="0.2">
      <c r="C203" s="45"/>
      <c r="D203" s="45"/>
      <c r="E203" s="45"/>
      <c r="F203" s="45"/>
    </row>
    <row r="204" spans="3:6" ht="15.75" customHeight="1" x14ac:dyDescent="0.2">
      <c r="C204" s="45"/>
      <c r="D204" s="45"/>
      <c r="E204" s="45"/>
      <c r="F204" s="45"/>
    </row>
    <row r="205" spans="3:6" ht="15.75" customHeight="1" x14ac:dyDescent="0.2">
      <c r="C205" s="45"/>
      <c r="D205" s="45"/>
      <c r="E205" s="45"/>
      <c r="F205" s="45"/>
    </row>
    <row r="206" spans="3:6" ht="15.75" customHeight="1" x14ac:dyDescent="0.2">
      <c r="C206" s="45"/>
      <c r="D206" s="45"/>
      <c r="E206" s="45"/>
      <c r="F206" s="45"/>
    </row>
    <row r="207" spans="3:6" ht="15.75" customHeight="1" x14ac:dyDescent="0.2">
      <c r="C207" s="45"/>
      <c r="D207" s="45"/>
      <c r="E207" s="45"/>
      <c r="F207" s="45"/>
    </row>
    <row r="208" spans="3:6" ht="15.75" customHeight="1" x14ac:dyDescent="0.2">
      <c r="C208" s="45"/>
      <c r="D208" s="45"/>
      <c r="E208" s="45"/>
      <c r="F208" s="45"/>
    </row>
    <row r="209" spans="3:6" ht="15.75" customHeight="1" x14ac:dyDescent="0.2">
      <c r="C209" s="45"/>
      <c r="D209" s="45"/>
      <c r="E209" s="45"/>
      <c r="F209" s="45"/>
    </row>
    <row r="210" spans="3:6" ht="15.75" customHeight="1" x14ac:dyDescent="0.2">
      <c r="C210" s="45"/>
      <c r="D210" s="45"/>
      <c r="E210" s="45"/>
      <c r="F210" s="45"/>
    </row>
    <row r="211" spans="3:6" ht="15.75" customHeight="1" x14ac:dyDescent="0.2">
      <c r="C211" s="45"/>
      <c r="D211" s="45"/>
      <c r="E211" s="45"/>
      <c r="F211" s="45"/>
    </row>
    <row r="212" spans="3:6" ht="15.75" customHeight="1" x14ac:dyDescent="0.2">
      <c r="C212" s="45"/>
      <c r="D212" s="45"/>
      <c r="E212" s="45"/>
      <c r="F212" s="45"/>
    </row>
    <row r="213" spans="3:6" ht="15.75" customHeight="1" x14ac:dyDescent="0.2">
      <c r="C213" s="45"/>
      <c r="D213" s="45"/>
      <c r="E213" s="45"/>
      <c r="F213" s="45"/>
    </row>
    <row r="214" spans="3:6" ht="15.75" customHeight="1" x14ac:dyDescent="0.2">
      <c r="C214" s="45"/>
      <c r="D214" s="45"/>
      <c r="E214" s="45"/>
      <c r="F214" s="45"/>
    </row>
    <row r="215" spans="3:6" ht="15.75" customHeight="1" x14ac:dyDescent="0.2">
      <c r="C215" s="45"/>
      <c r="D215" s="45"/>
      <c r="E215" s="45"/>
      <c r="F215" s="45"/>
    </row>
    <row r="216" spans="3:6" ht="15.75" customHeight="1" x14ac:dyDescent="0.2">
      <c r="C216" s="45"/>
      <c r="D216" s="45"/>
      <c r="E216" s="45"/>
      <c r="F216" s="45"/>
    </row>
    <row r="217" spans="3:6" ht="15.75" customHeight="1" x14ac:dyDescent="0.2">
      <c r="C217" s="45"/>
      <c r="D217" s="45"/>
      <c r="E217" s="45"/>
      <c r="F217" s="45"/>
    </row>
    <row r="218" spans="3:6" ht="15.75" customHeight="1" x14ac:dyDescent="0.2">
      <c r="C218" s="45"/>
      <c r="D218" s="45"/>
      <c r="E218" s="45"/>
      <c r="F218" s="45"/>
    </row>
    <row r="219" spans="3:6" ht="15.75" customHeight="1" x14ac:dyDescent="0.2">
      <c r="C219" s="45"/>
      <c r="D219" s="45"/>
      <c r="E219" s="45"/>
      <c r="F219" s="45"/>
    </row>
    <row r="220" spans="3:6" ht="15.75" customHeight="1" x14ac:dyDescent="0.2">
      <c r="C220" s="45"/>
      <c r="D220" s="45"/>
      <c r="E220" s="45"/>
      <c r="F220" s="45"/>
    </row>
    <row r="221" spans="3:6" ht="15.75" customHeight="1" x14ac:dyDescent="0.2">
      <c r="C221" s="45"/>
      <c r="D221" s="45"/>
      <c r="E221" s="45"/>
      <c r="F221" s="45"/>
    </row>
    <row r="222" spans="3:6" ht="15.75" customHeight="1" x14ac:dyDescent="0.2">
      <c r="C222" s="45"/>
      <c r="D222" s="45"/>
      <c r="E222" s="45"/>
      <c r="F222" s="45"/>
    </row>
    <row r="223" spans="3:6" ht="15.75" customHeight="1" x14ac:dyDescent="0.2">
      <c r="C223" s="45"/>
      <c r="D223" s="45"/>
      <c r="E223" s="45"/>
      <c r="F223" s="45"/>
    </row>
    <row r="224" spans="3:6" ht="15.75" customHeight="1" x14ac:dyDescent="0.2">
      <c r="C224" s="45"/>
      <c r="D224" s="45"/>
      <c r="E224" s="45"/>
      <c r="F224" s="45"/>
    </row>
    <row r="225" spans="3:6" ht="15.75" customHeight="1" x14ac:dyDescent="0.2">
      <c r="C225" s="45"/>
      <c r="D225" s="45"/>
      <c r="E225" s="45"/>
      <c r="F225" s="45"/>
    </row>
    <row r="226" spans="3:6" ht="15.75" customHeight="1" x14ac:dyDescent="0.2">
      <c r="C226" s="45"/>
      <c r="D226" s="45"/>
      <c r="E226" s="45"/>
      <c r="F226" s="45"/>
    </row>
    <row r="227" spans="3:6" ht="15.75" customHeight="1" x14ac:dyDescent="0.2">
      <c r="C227" s="45"/>
      <c r="D227" s="45"/>
      <c r="E227" s="45"/>
      <c r="F227" s="45"/>
    </row>
    <row r="228" spans="3:6" ht="15.75" customHeight="1" x14ac:dyDescent="0.2">
      <c r="C228" s="45"/>
      <c r="D228" s="45"/>
      <c r="E228" s="45"/>
      <c r="F228" s="45"/>
    </row>
    <row r="229" spans="3:6" ht="15.75" customHeight="1" x14ac:dyDescent="0.2">
      <c r="C229" s="45"/>
      <c r="D229" s="45"/>
      <c r="E229" s="45"/>
      <c r="F229" s="45"/>
    </row>
    <row r="230" spans="3:6" ht="15.75" customHeight="1" x14ac:dyDescent="0.2">
      <c r="C230" s="45"/>
      <c r="D230" s="45"/>
      <c r="E230" s="45"/>
      <c r="F230" s="45"/>
    </row>
    <row r="231" spans="3:6" ht="15.75" customHeight="1" x14ac:dyDescent="0.2">
      <c r="C231" s="45"/>
      <c r="D231" s="45"/>
      <c r="E231" s="45"/>
      <c r="F231" s="45"/>
    </row>
    <row r="232" spans="3:6" ht="15.75" customHeight="1" x14ac:dyDescent="0.2">
      <c r="C232" s="45"/>
      <c r="D232" s="45"/>
      <c r="E232" s="45"/>
      <c r="F232" s="45"/>
    </row>
    <row r="233" spans="3:6" ht="15.75" customHeight="1" x14ac:dyDescent="0.2">
      <c r="C233" s="45"/>
      <c r="D233" s="45"/>
      <c r="E233" s="45"/>
      <c r="F233" s="45"/>
    </row>
    <row r="234" spans="3:6" ht="15.75" customHeight="1" x14ac:dyDescent="0.2">
      <c r="C234" s="45"/>
      <c r="D234" s="45"/>
      <c r="E234" s="45"/>
      <c r="F234" s="45"/>
    </row>
    <row r="235" spans="3:6" ht="15.75" customHeight="1" x14ac:dyDescent="0.2">
      <c r="C235" s="45"/>
      <c r="D235" s="45"/>
      <c r="E235" s="45"/>
      <c r="F235" s="45"/>
    </row>
    <row r="236" spans="3:6" ht="15.75" customHeight="1" x14ac:dyDescent="0.2">
      <c r="C236" s="45"/>
      <c r="D236" s="45"/>
      <c r="E236" s="45"/>
      <c r="F236" s="45"/>
    </row>
    <row r="237" spans="3:6" ht="15.75" customHeight="1" x14ac:dyDescent="0.2">
      <c r="C237" s="45"/>
      <c r="D237" s="45"/>
      <c r="E237" s="45"/>
      <c r="F237" s="45"/>
    </row>
    <row r="238" spans="3:6" ht="15.75" customHeight="1" x14ac:dyDescent="0.2">
      <c r="C238" s="45"/>
      <c r="D238" s="45"/>
      <c r="E238" s="45"/>
      <c r="F238" s="45"/>
    </row>
    <row r="239" spans="3:6" ht="15.75" customHeight="1" x14ac:dyDescent="0.2">
      <c r="C239" s="45"/>
      <c r="D239" s="45"/>
      <c r="E239" s="45"/>
      <c r="F239" s="45"/>
    </row>
    <row r="240" spans="3:6" ht="15.75" customHeight="1" x14ac:dyDescent="0.2">
      <c r="C240" s="45"/>
      <c r="D240" s="45"/>
      <c r="E240" s="45"/>
      <c r="F240" s="45"/>
    </row>
    <row r="241" spans="3:6" ht="15.75" customHeight="1" x14ac:dyDescent="0.2">
      <c r="C241" s="45"/>
      <c r="D241" s="45"/>
      <c r="E241" s="45"/>
      <c r="F241" s="45"/>
    </row>
    <row r="242" spans="3:6" ht="15.75" customHeight="1" x14ac:dyDescent="0.2">
      <c r="C242" s="45"/>
      <c r="D242" s="45"/>
      <c r="E242" s="45"/>
      <c r="F242" s="45"/>
    </row>
    <row r="243" spans="3:6" ht="15.75" customHeight="1" x14ac:dyDescent="0.2">
      <c r="C243" s="45"/>
      <c r="D243" s="45"/>
      <c r="E243" s="45"/>
      <c r="F243" s="45"/>
    </row>
    <row r="244" spans="3:6" ht="15.75" customHeight="1" x14ac:dyDescent="0.2">
      <c r="C244" s="45"/>
      <c r="D244" s="45"/>
      <c r="E244" s="45"/>
      <c r="F244" s="45"/>
    </row>
    <row r="245" spans="3:6" ht="15.75" customHeight="1" x14ac:dyDescent="0.2">
      <c r="C245" s="45"/>
      <c r="D245" s="45"/>
      <c r="E245" s="45"/>
      <c r="F245" s="45"/>
    </row>
    <row r="246" spans="3:6" ht="15.75" customHeight="1" x14ac:dyDescent="0.2">
      <c r="C246" s="45"/>
      <c r="D246" s="45"/>
      <c r="E246" s="45"/>
      <c r="F246" s="45"/>
    </row>
    <row r="247" spans="3:6" ht="15.75" customHeight="1" x14ac:dyDescent="0.2">
      <c r="C247" s="45"/>
      <c r="D247" s="45"/>
      <c r="E247" s="45"/>
      <c r="F247" s="45"/>
    </row>
    <row r="248" spans="3:6" ht="15.75" customHeight="1" x14ac:dyDescent="0.2">
      <c r="C248" s="45"/>
      <c r="D248" s="45"/>
      <c r="E248" s="45"/>
      <c r="F248" s="45"/>
    </row>
    <row r="249" spans="3:6" ht="15.75" customHeight="1" x14ac:dyDescent="0.2">
      <c r="C249" s="45"/>
      <c r="D249" s="45"/>
      <c r="E249" s="45"/>
      <c r="F249" s="45"/>
    </row>
    <row r="250" spans="3:6" ht="15.75" customHeight="1" x14ac:dyDescent="0.2">
      <c r="C250" s="45"/>
      <c r="D250" s="45"/>
      <c r="E250" s="45"/>
      <c r="F250" s="45"/>
    </row>
    <row r="251" spans="3:6" ht="15.75" customHeight="1" x14ac:dyDescent="0.2">
      <c r="C251" s="45"/>
      <c r="D251" s="45"/>
      <c r="E251" s="45"/>
      <c r="F251" s="45"/>
    </row>
    <row r="252" spans="3:6" ht="15.75" customHeight="1" x14ac:dyDescent="0.2">
      <c r="C252" s="45"/>
      <c r="D252" s="45"/>
      <c r="E252" s="45"/>
      <c r="F252" s="45"/>
    </row>
    <row r="253" spans="3:6" ht="15.75" customHeight="1" x14ac:dyDescent="0.2">
      <c r="C253" s="45"/>
      <c r="D253" s="45"/>
      <c r="E253" s="45"/>
      <c r="F253" s="45"/>
    </row>
    <row r="254" spans="3:6" ht="15.75" customHeight="1" x14ac:dyDescent="0.2">
      <c r="C254" s="45"/>
      <c r="D254" s="45"/>
      <c r="E254" s="45"/>
      <c r="F254" s="45"/>
    </row>
    <row r="255" spans="3:6" ht="15.75" customHeight="1" x14ac:dyDescent="0.2">
      <c r="C255" s="45"/>
      <c r="D255" s="45"/>
      <c r="E255" s="45"/>
      <c r="F255" s="45"/>
    </row>
    <row r="256" spans="3:6" ht="15.75" customHeight="1" x14ac:dyDescent="0.2">
      <c r="C256" s="45"/>
      <c r="D256" s="45"/>
      <c r="E256" s="45"/>
      <c r="F256" s="45"/>
    </row>
    <row r="257" spans="3:6" ht="15.75" customHeight="1" x14ac:dyDescent="0.2">
      <c r="C257" s="45"/>
      <c r="D257" s="45"/>
      <c r="E257" s="45"/>
      <c r="F257" s="45"/>
    </row>
    <row r="258" spans="3:6" ht="15.75" customHeight="1" x14ac:dyDescent="0.2">
      <c r="C258" s="45"/>
      <c r="D258" s="45"/>
      <c r="E258" s="45"/>
      <c r="F258" s="45"/>
    </row>
    <row r="259" spans="3:6" ht="15.75" customHeight="1" x14ac:dyDescent="0.2">
      <c r="C259" s="45"/>
      <c r="D259" s="45"/>
      <c r="E259" s="45"/>
      <c r="F259" s="45"/>
    </row>
    <row r="260" spans="3:6" ht="15.75" customHeight="1" x14ac:dyDescent="0.2">
      <c r="C260" s="45"/>
      <c r="D260" s="45"/>
      <c r="E260" s="45"/>
      <c r="F260" s="45"/>
    </row>
    <row r="261" spans="3:6" ht="15.75" customHeight="1" x14ac:dyDescent="0.2">
      <c r="C261" s="45"/>
      <c r="D261" s="45"/>
      <c r="E261" s="45"/>
      <c r="F261" s="45"/>
    </row>
    <row r="262" spans="3:6" ht="15.75" customHeight="1" x14ac:dyDescent="0.2">
      <c r="C262" s="45"/>
      <c r="D262" s="45"/>
      <c r="E262" s="45"/>
      <c r="F262" s="45"/>
    </row>
    <row r="263" spans="3:6" ht="15.75" customHeight="1" x14ac:dyDescent="0.2">
      <c r="C263" s="45"/>
      <c r="D263" s="45"/>
      <c r="E263" s="45"/>
      <c r="F263" s="45"/>
    </row>
    <row r="264" spans="3:6" ht="15.75" customHeight="1" x14ac:dyDescent="0.2">
      <c r="C264" s="45"/>
      <c r="D264" s="45"/>
      <c r="E264" s="45"/>
      <c r="F264" s="45"/>
    </row>
    <row r="265" spans="3:6" ht="15.75" customHeight="1" x14ac:dyDescent="0.2">
      <c r="C265" s="45"/>
      <c r="D265" s="45"/>
      <c r="E265" s="45"/>
      <c r="F265" s="45"/>
    </row>
    <row r="266" spans="3:6" ht="15.75" customHeight="1" x14ac:dyDescent="0.2">
      <c r="C266" s="45"/>
      <c r="D266" s="45"/>
      <c r="E266" s="45"/>
      <c r="F266" s="45"/>
    </row>
    <row r="267" spans="3:6" ht="15.75" customHeight="1" x14ac:dyDescent="0.2">
      <c r="C267" s="45"/>
      <c r="D267" s="45"/>
      <c r="E267" s="45"/>
      <c r="F267" s="45"/>
    </row>
    <row r="268" spans="3:6" ht="15.75" customHeight="1" x14ac:dyDescent="0.2">
      <c r="C268" s="45"/>
      <c r="D268" s="45"/>
      <c r="E268" s="45"/>
      <c r="F268" s="45"/>
    </row>
    <row r="269" spans="3:6" ht="15.75" customHeight="1" x14ac:dyDescent="0.2">
      <c r="C269" s="45"/>
      <c r="D269" s="45"/>
      <c r="E269" s="45"/>
      <c r="F269" s="45"/>
    </row>
    <row r="270" spans="3:6" ht="15.75" customHeight="1" x14ac:dyDescent="0.2">
      <c r="C270" s="45"/>
      <c r="D270" s="45"/>
      <c r="E270" s="45"/>
      <c r="F270" s="45"/>
    </row>
    <row r="271" spans="3:6" ht="15.75" customHeight="1" x14ac:dyDescent="0.2">
      <c r="C271" s="45"/>
      <c r="D271" s="45"/>
      <c r="E271" s="45"/>
      <c r="F271" s="45"/>
    </row>
    <row r="272" spans="3:6" ht="15.75" customHeight="1" x14ac:dyDescent="0.2">
      <c r="C272" s="45"/>
      <c r="D272" s="45"/>
      <c r="E272" s="45"/>
      <c r="F272" s="45"/>
    </row>
    <row r="273" spans="3:6" ht="15.75" customHeight="1" x14ac:dyDescent="0.2">
      <c r="C273" s="45"/>
      <c r="D273" s="45"/>
      <c r="E273" s="45"/>
      <c r="F273" s="45"/>
    </row>
    <row r="274" spans="3:6" ht="15.75" customHeight="1" x14ac:dyDescent="0.2">
      <c r="C274" s="45"/>
      <c r="D274" s="45"/>
      <c r="E274" s="45"/>
      <c r="F274" s="45"/>
    </row>
    <row r="275" spans="3:6" ht="15.75" customHeight="1" x14ac:dyDescent="0.2">
      <c r="C275" s="45"/>
      <c r="D275" s="45"/>
      <c r="E275" s="45"/>
      <c r="F275" s="45"/>
    </row>
    <row r="276" spans="3:6" ht="15.75" customHeight="1" x14ac:dyDescent="0.2">
      <c r="C276" s="45"/>
      <c r="D276" s="45"/>
      <c r="E276" s="45"/>
      <c r="F276" s="45"/>
    </row>
    <row r="277" spans="3:6" ht="15.75" customHeight="1" x14ac:dyDescent="0.2">
      <c r="C277" s="45"/>
      <c r="D277" s="45"/>
      <c r="E277" s="45"/>
      <c r="F277" s="45"/>
    </row>
    <row r="278" spans="3:6" ht="15.75" customHeight="1" x14ac:dyDescent="0.2">
      <c r="C278" s="45"/>
      <c r="D278" s="45"/>
      <c r="E278" s="45"/>
      <c r="F278" s="45"/>
    </row>
    <row r="279" spans="3:6" ht="15.75" customHeight="1" x14ac:dyDescent="0.2">
      <c r="C279" s="45"/>
      <c r="D279" s="45"/>
      <c r="E279" s="45"/>
      <c r="F279" s="45"/>
    </row>
    <row r="280" spans="3:6" ht="15.75" customHeight="1" x14ac:dyDescent="0.2">
      <c r="C280" s="45"/>
      <c r="D280" s="45"/>
      <c r="E280" s="45"/>
      <c r="F280" s="45"/>
    </row>
    <row r="281" spans="3:6" ht="15.75" customHeight="1" x14ac:dyDescent="0.2">
      <c r="C281" s="45"/>
      <c r="D281" s="45"/>
      <c r="E281" s="45"/>
      <c r="F281" s="45"/>
    </row>
    <row r="282" spans="3:6" ht="15.75" customHeight="1" x14ac:dyDescent="0.2">
      <c r="C282" s="45"/>
      <c r="D282" s="45"/>
      <c r="E282" s="45"/>
      <c r="F282" s="45"/>
    </row>
    <row r="283" spans="3:6" ht="15.75" customHeight="1" x14ac:dyDescent="0.2">
      <c r="C283" s="45"/>
      <c r="D283" s="45"/>
      <c r="E283" s="45"/>
      <c r="F283" s="45"/>
    </row>
    <row r="284" spans="3:6" ht="15.75" customHeight="1" x14ac:dyDescent="0.2">
      <c r="C284" s="45"/>
      <c r="D284" s="45"/>
      <c r="E284" s="45"/>
      <c r="F284" s="45"/>
    </row>
    <row r="285" spans="3:6" ht="15.75" customHeight="1" x14ac:dyDescent="0.2">
      <c r="C285" s="45"/>
      <c r="D285" s="45"/>
      <c r="E285" s="45"/>
      <c r="F285" s="45"/>
    </row>
    <row r="286" spans="3:6" ht="15.75" customHeight="1" x14ac:dyDescent="0.2">
      <c r="C286" s="45"/>
      <c r="D286" s="45"/>
      <c r="E286" s="45"/>
      <c r="F286" s="45"/>
    </row>
    <row r="287" spans="3:6" ht="15.75" customHeight="1" x14ac:dyDescent="0.2">
      <c r="C287" s="45"/>
      <c r="D287" s="45"/>
      <c r="E287" s="45"/>
      <c r="F287" s="45"/>
    </row>
    <row r="288" spans="3:6" ht="15.75" customHeight="1" x14ac:dyDescent="0.2">
      <c r="C288" s="45"/>
      <c r="D288" s="45"/>
      <c r="E288" s="45"/>
      <c r="F288" s="45"/>
    </row>
    <row r="289" spans="3:6" ht="15.75" customHeight="1" x14ac:dyDescent="0.2">
      <c r="C289" s="45"/>
      <c r="D289" s="45"/>
      <c r="E289" s="45"/>
      <c r="F289" s="45"/>
    </row>
    <row r="290" spans="3:6" ht="15.75" customHeight="1" x14ac:dyDescent="0.2">
      <c r="C290" s="45"/>
      <c r="D290" s="45"/>
      <c r="E290" s="45"/>
      <c r="F290" s="45"/>
    </row>
    <row r="291" spans="3:6" ht="15.75" customHeight="1" x14ac:dyDescent="0.2">
      <c r="C291" s="45"/>
      <c r="D291" s="45"/>
      <c r="E291" s="45"/>
      <c r="F291" s="45"/>
    </row>
    <row r="292" spans="3:6" ht="15.75" customHeight="1" x14ac:dyDescent="0.2">
      <c r="C292" s="45"/>
      <c r="D292" s="45"/>
      <c r="E292" s="45"/>
      <c r="F292" s="45"/>
    </row>
    <row r="293" spans="3:6" ht="15.75" customHeight="1" x14ac:dyDescent="0.2">
      <c r="C293" s="45"/>
      <c r="D293" s="45"/>
      <c r="E293" s="45"/>
      <c r="F293" s="45"/>
    </row>
    <row r="294" spans="3:6" ht="15.75" customHeight="1" x14ac:dyDescent="0.2">
      <c r="C294" s="45"/>
      <c r="D294" s="45"/>
      <c r="E294" s="45"/>
      <c r="F294" s="45"/>
    </row>
    <row r="295" spans="3:6" ht="15.75" customHeight="1" x14ac:dyDescent="0.2">
      <c r="C295" s="45"/>
      <c r="D295" s="45"/>
      <c r="E295" s="45"/>
      <c r="F295" s="45"/>
    </row>
    <row r="296" spans="3:6" ht="15.75" customHeight="1" x14ac:dyDescent="0.2">
      <c r="C296" s="45"/>
      <c r="D296" s="45"/>
      <c r="E296" s="45"/>
      <c r="F296" s="45"/>
    </row>
    <row r="297" spans="3:6" ht="15.75" customHeight="1" x14ac:dyDescent="0.2">
      <c r="C297" s="45"/>
      <c r="D297" s="45"/>
      <c r="E297" s="45"/>
      <c r="F297" s="45"/>
    </row>
    <row r="298" spans="3:6" ht="15.75" customHeight="1" x14ac:dyDescent="0.2">
      <c r="C298" s="45"/>
      <c r="D298" s="45"/>
      <c r="E298" s="45"/>
      <c r="F298" s="45"/>
    </row>
    <row r="299" spans="3:6" ht="15.75" customHeight="1" x14ac:dyDescent="0.2">
      <c r="C299" s="45"/>
      <c r="D299" s="45"/>
      <c r="E299" s="45"/>
      <c r="F299" s="45"/>
    </row>
    <row r="300" spans="3:6" ht="15.75" customHeight="1" x14ac:dyDescent="0.2">
      <c r="C300" s="45"/>
      <c r="D300" s="45"/>
      <c r="E300" s="45"/>
      <c r="F300" s="45"/>
    </row>
    <row r="301" spans="3:6" ht="15.75" customHeight="1" x14ac:dyDescent="0.2">
      <c r="C301" s="45"/>
      <c r="D301" s="45"/>
      <c r="E301" s="45"/>
      <c r="F301" s="45"/>
    </row>
    <row r="302" spans="3:6" ht="15.75" customHeight="1" x14ac:dyDescent="0.2">
      <c r="C302" s="45"/>
      <c r="D302" s="45"/>
      <c r="E302" s="45"/>
      <c r="F302" s="45"/>
    </row>
    <row r="303" spans="3:6" ht="15.75" customHeight="1" x14ac:dyDescent="0.2">
      <c r="C303" s="45"/>
      <c r="D303" s="45"/>
      <c r="E303" s="45"/>
      <c r="F303" s="45"/>
    </row>
    <row r="304" spans="3:6" ht="15.75" customHeight="1" x14ac:dyDescent="0.2">
      <c r="C304" s="45"/>
      <c r="D304" s="45"/>
      <c r="E304" s="45"/>
      <c r="F304" s="45"/>
    </row>
    <row r="305" spans="3:6" ht="15.75" customHeight="1" x14ac:dyDescent="0.2">
      <c r="C305" s="45"/>
      <c r="D305" s="45"/>
      <c r="E305" s="45"/>
      <c r="F305" s="45"/>
    </row>
    <row r="306" spans="3:6" ht="15.75" customHeight="1" x14ac:dyDescent="0.2">
      <c r="C306" s="45"/>
      <c r="D306" s="45"/>
      <c r="E306" s="45"/>
      <c r="F306" s="45"/>
    </row>
    <row r="307" spans="3:6" ht="15.75" customHeight="1" x14ac:dyDescent="0.2">
      <c r="C307" s="45"/>
      <c r="D307" s="45"/>
      <c r="E307" s="45"/>
      <c r="F307" s="45"/>
    </row>
    <row r="308" spans="3:6" ht="15.75" customHeight="1" x14ac:dyDescent="0.2">
      <c r="C308" s="45"/>
      <c r="D308" s="45"/>
      <c r="E308" s="45"/>
      <c r="F308" s="45"/>
    </row>
    <row r="309" spans="3:6" ht="15.75" customHeight="1" x14ac:dyDescent="0.2">
      <c r="C309" s="45"/>
      <c r="D309" s="45"/>
      <c r="E309" s="45"/>
      <c r="F309" s="45"/>
    </row>
    <row r="310" spans="3:6" ht="15.75" customHeight="1" x14ac:dyDescent="0.2">
      <c r="C310" s="45"/>
      <c r="D310" s="45"/>
      <c r="E310" s="45"/>
      <c r="F310" s="45"/>
    </row>
    <row r="311" spans="3:6" ht="15.75" customHeight="1" x14ac:dyDescent="0.2">
      <c r="C311" s="45"/>
      <c r="D311" s="45"/>
      <c r="E311" s="45"/>
      <c r="F311" s="45"/>
    </row>
    <row r="312" spans="3:6" ht="15.75" customHeight="1" x14ac:dyDescent="0.2">
      <c r="C312" s="45"/>
      <c r="D312" s="45"/>
      <c r="E312" s="45"/>
      <c r="F312" s="45"/>
    </row>
    <row r="313" spans="3:6" ht="15.75" customHeight="1" x14ac:dyDescent="0.2">
      <c r="C313" s="45"/>
      <c r="D313" s="45"/>
      <c r="E313" s="45"/>
      <c r="F313" s="45"/>
    </row>
    <row r="314" spans="3:6" ht="15.75" customHeight="1" x14ac:dyDescent="0.2">
      <c r="C314" s="45"/>
      <c r="D314" s="45"/>
      <c r="E314" s="45"/>
      <c r="F314" s="45"/>
    </row>
    <row r="315" spans="3:6" ht="15.75" customHeight="1" x14ac:dyDescent="0.2">
      <c r="C315" s="45"/>
      <c r="D315" s="45"/>
      <c r="E315" s="45"/>
      <c r="F315" s="45"/>
    </row>
    <row r="316" spans="3:6" ht="15.75" customHeight="1" x14ac:dyDescent="0.2">
      <c r="C316" s="45"/>
      <c r="D316" s="45"/>
      <c r="E316" s="45"/>
      <c r="F316" s="45"/>
    </row>
    <row r="317" spans="3:6" ht="15.75" customHeight="1" x14ac:dyDescent="0.2">
      <c r="C317" s="45"/>
      <c r="D317" s="45"/>
      <c r="E317" s="45"/>
      <c r="F317" s="45"/>
    </row>
    <row r="318" spans="3:6" ht="15.75" customHeight="1" x14ac:dyDescent="0.2">
      <c r="C318" s="45"/>
      <c r="D318" s="45"/>
      <c r="E318" s="45"/>
      <c r="F318" s="45"/>
    </row>
    <row r="319" spans="3:6" ht="15.75" customHeight="1" x14ac:dyDescent="0.2">
      <c r="C319" s="45"/>
      <c r="D319" s="45"/>
      <c r="E319" s="45"/>
      <c r="F319" s="45"/>
    </row>
    <row r="320" spans="3:6" ht="15.75" customHeight="1" x14ac:dyDescent="0.2">
      <c r="C320" s="45"/>
      <c r="D320" s="45"/>
      <c r="E320" s="45"/>
      <c r="F320" s="45"/>
    </row>
    <row r="321" spans="3:6" ht="15.75" customHeight="1" x14ac:dyDescent="0.2">
      <c r="C321" s="45"/>
      <c r="D321" s="45"/>
      <c r="E321" s="45"/>
      <c r="F321" s="45"/>
    </row>
    <row r="322" spans="3:6" ht="15.75" customHeight="1" x14ac:dyDescent="0.2">
      <c r="C322" s="45"/>
      <c r="D322" s="45"/>
      <c r="E322" s="45"/>
      <c r="F322" s="45"/>
    </row>
    <row r="323" spans="3:6" ht="15.75" customHeight="1" x14ac:dyDescent="0.2">
      <c r="C323" s="45"/>
      <c r="D323" s="45"/>
      <c r="E323" s="45"/>
      <c r="F323" s="45"/>
    </row>
    <row r="324" spans="3:6" ht="15.75" customHeight="1" x14ac:dyDescent="0.2">
      <c r="C324" s="45"/>
      <c r="D324" s="45"/>
      <c r="E324" s="45"/>
      <c r="F324" s="45"/>
    </row>
    <row r="325" spans="3:6" ht="15.75" customHeight="1" x14ac:dyDescent="0.2">
      <c r="C325" s="45"/>
      <c r="D325" s="45"/>
      <c r="E325" s="45"/>
      <c r="F325" s="45"/>
    </row>
    <row r="326" spans="3:6" ht="15.75" customHeight="1" x14ac:dyDescent="0.2">
      <c r="C326" s="45"/>
      <c r="D326" s="45"/>
      <c r="E326" s="45"/>
      <c r="F326" s="45"/>
    </row>
    <row r="327" spans="3:6" ht="15.75" customHeight="1" x14ac:dyDescent="0.2">
      <c r="C327" s="45"/>
      <c r="D327" s="45"/>
      <c r="E327" s="45"/>
      <c r="F327" s="45"/>
    </row>
    <row r="328" spans="3:6" ht="15.75" customHeight="1" x14ac:dyDescent="0.2">
      <c r="C328" s="45"/>
      <c r="D328" s="45"/>
      <c r="E328" s="45"/>
      <c r="F328" s="45"/>
    </row>
    <row r="329" spans="3:6" ht="15.75" customHeight="1" x14ac:dyDescent="0.2">
      <c r="C329" s="45"/>
      <c r="D329" s="45"/>
      <c r="E329" s="45"/>
      <c r="F329" s="45"/>
    </row>
    <row r="330" spans="3:6" ht="15.75" customHeight="1" x14ac:dyDescent="0.2">
      <c r="C330" s="45"/>
      <c r="D330" s="45"/>
      <c r="E330" s="45"/>
      <c r="F330" s="45"/>
    </row>
    <row r="331" spans="3:6" ht="15.75" customHeight="1" x14ac:dyDescent="0.2">
      <c r="C331" s="45"/>
      <c r="D331" s="45"/>
      <c r="E331" s="45"/>
      <c r="F331" s="45"/>
    </row>
    <row r="332" spans="3:6" ht="15.75" customHeight="1" x14ac:dyDescent="0.2">
      <c r="C332" s="45"/>
      <c r="D332" s="45"/>
      <c r="E332" s="45"/>
      <c r="F332" s="45"/>
    </row>
    <row r="333" spans="3:6" ht="15.75" customHeight="1" x14ac:dyDescent="0.2">
      <c r="C333" s="45"/>
      <c r="D333" s="45"/>
      <c r="E333" s="45"/>
      <c r="F333" s="45"/>
    </row>
    <row r="334" spans="3:6" ht="15.75" customHeight="1" x14ac:dyDescent="0.2">
      <c r="C334" s="45"/>
      <c r="D334" s="45"/>
      <c r="E334" s="45"/>
      <c r="F334" s="45"/>
    </row>
    <row r="335" spans="3:6" ht="15.75" customHeight="1" x14ac:dyDescent="0.2">
      <c r="C335" s="45"/>
      <c r="D335" s="45"/>
      <c r="E335" s="45"/>
      <c r="F335" s="45"/>
    </row>
    <row r="336" spans="3:6" ht="15.75" customHeight="1" x14ac:dyDescent="0.2">
      <c r="C336" s="45"/>
      <c r="D336" s="45"/>
      <c r="E336" s="45"/>
      <c r="F336" s="45"/>
    </row>
    <row r="337" spans="3:6" ht="15.75" customHeight="1" x14ac:dyDescent="0.2">
      <c r="C337" s="45"/>
      <c r="D337" s="45"/>
      <c r="E337" s="45"/>
      <c r="F337" s="45"/>
    </row>
    <row r="338" spans="3:6" ht="15.75" customHeight="1" x14ac:dyDescent="0.2">
      <c r="C338" s="45"/>
      <c r="D338" s="45"/>
      <c r="E338" s="45"/>
      <c r="F338" s="45"/>
    </row>
    <row r="339" spans="3:6" ht="15.75" customHeight="1" x14ac:dyDescent="0.2">
      <c r="C339" s="45"/>
      <c r="D339" s="45"/>
      <c r="E339" s="45"/>
      <c r="F339" s="45"/>
    </row>
    <row r="340" spans="3:6" ht="15.75" customHeight="1" x14ac:dyDescent="0.2">
      <c r="C340" s="45"/>
      <c r="D340" s="45"/>
      <c r="E340" s="45"/>
      <c r="F340" s="45"/>
    </row>
    <row r="341" spans="3:6" ht="15.75" customHeight="1" x14ac:dyDescent="0.2">
      <c r="C341" s="45"/>
      <c r="D341" s="45"/>
      <c r="E341" s="45"/>
      <c r="F341" s="45"/>
    </row>
    <row r="342" spans="3:6" ht="15.75" customHeight="1" x14ac:dyDescent="0.2">
      <c r="C342" s="45"/>
      <c r="D342" s="45"/>
      <c r="E342" s="45"/>
      <c r="F342" s="45"/>
    </row>
    <row r="343" spans="3:6" ht="15.75" customHeight="1" x14ac:dyDescent="0.2">
      <c r="C343" s="45"/>
      <c r="D343" s="45"/>
      <c r="E343" s="45"/>
      <c r="F343" s="45"/>
    </row>
    <row r="344" spans="3:6" ht="15.75" customHeight="1" x14ac:dyDescent="0.2">
      <c r="C344" s="45"/>
      <c r="D344" s="45"/>
      <c r="E344" s="45"/>
      <c r="F344" s="45"/>
    </row>
    <row r="345" spans="3:6" ht="15.75" customHeight="1" x14ac:dyDescent="0.2">
      <c r="C345" s="45"/>
      <c r="D345" s="45"/>
      <c r="E345" s="45"/>
      <c r="F345" s="45"/>
    </row>
    <row r="346" spans="3:6" ht="15.75" customHeight="1" x14ac:dyDescent="0.2">
      <c r="C346" s="45"/>
      <c r="D346" s="45"/>
      <c r="E346" s="45"/>
      <c r="F346" s="45"/>
    </row>
    <row r="347" spans="3:6" ht="15.75" customHeight="1" x14ac:dyDescent="0.2">
      <c r="C347" s="45"/>
      <c r="D347" s="45"/>
      <c r="E347" s="45"/>
      <c r="F347" s="45"/>
    </row>
    <row r="348" spans="3:6" ht="15.75" customHeight="1" x14ac:dyDescent="0.2">
      <c r="C348" s="45"/>
      <c r="D348" s="45"/>
      <c r="E348" s="45"/>
      <c r="F348" s="45"/>
    </row>
    <row r="349" spans="3:6" ht="15.75" customHeight="1" x14ac:dyDescent="0.2">
      <c r="C349" s="45"/>
      <c r="D349" s="45"/>
      <c r="E349" s="45"/>
      <c r="F349" s="45"/>
    </row>
    <row r="350" spans="3:6" ht="15.75" customHeight="1" x14ac:dyDescent="0.2">
      <c r="C350" s="45"/>
      <c r="D350" s="45"/>
      <c r="E350" s="45"/>
      <c r="F350" s="45"/>
    </row>
    <row r="351" spans="3:6" ht="15.75" customHeight="1" x14ac:dyDescent="0.2">
      <c r="C351" s="45"/>
      <c r="D351" s="45"/>
      <c r="E351" s="45"/>
      <c r="F351" s="45"/>
    </row>
    <row r="352" spans="3:6" ht="15.75" customHeight="1" x14ac:dyDescent="0.2">
      <c r="C352" s="45"/>
      <c r="D352" s="45"/>
      <c r="E352" s="45"/>
      <c r="F352" s="45"/>
    </row>
    <row r="353" spans="3:6" ht="15.75" customHeight="1" x14ac:dyDescent="0.2">
      <c r="C353" s="45"/>
      <c r="D353" s="45"/>
      <c r="E353" s="45"/>
      <c r="F353" s="45"/>
    </row>
    <row r="354" spans="3:6" ht="15.75" customHeight="1" x14ac:dyDescent="0.2">
      <c r="C354" s="45"/>
      <c r="D354" s="45"/>
      <c r="E354" s="45"/>
      <c r="F354" s="45"/>
    </row>
    <row r="355" spans="3:6" ht="15.75" customHeight="1" x14ac:dyDescent="0.2">
      <c r="C355" s="45"/>
      <c r="D355" s="45"/>
      <c r="E355" s="45"/>
      <c r="F355" s="45"/>
    </row>
    <row r="356" spans="3:6" ht="15.75" customHeight="1" x14ac:dyDescent="0.2">
      <c r="C356" s="45"/>
      <c r="D356" s="45"/>
      <c r="E356" s="45"/>
      <c r="F356" s="45"/>
    </row>
    <row r="357" spans="3:6" ht="15.75" customHeight="1" x14ac:dyDescent="0.2">
      <c r="C357" s="45"/>
      <c r="D357" s="45"/>
      <c r="E357" s="45"/>
      <c r="F357" s="45"/>
    </row>
    <row r="358" spans="3:6" ht="15.75" customHeight="1" x14ac:dyDescent="0.2">
      <c r="C358" s="45"/>
      <c r="D358" s="45"/>
      <c r="E358" s="45"/>
      <c r="F358" s="45"/>
    </row>
    <row r="359" spans="3:6" ht="15.75" customHeight="1" x14ac:dyDescent="0.2">
      <c r="C359" s="45"/>
      <c r="D359" s="45"/>
      <c r="E359" s="45"/>
      <c r="F359" s="45"/>
    </row>
    <row r="360" spans="3:6" ht="15.75" customHeight="1" x14ac:dyDescent="0.2">
      <c r="C360" s="45"/>
      <c r="D360" s="45"/>
      <c r="E360" s="45"/>
      <c r="F360" s="45"/>
    </row>
    <row r="361" spans="3:6" ht="15.75" customHeight="1" x14ac:dyDescent="0.2">
      <c r="C361" s="45"/>
      <c r="D361" s="45"/>
      <c r="E361" s="45"/>
      <c r="F361" s="45"/>
    </row>
    <row r="362" spans="3:6" ht="15.75" customHeight="1" x14ac:dyDescent="0.2">
      <c r="C362" s="45"/>
      <c r="D362" s="45"/>
      <c r="E362" s="45"/>
      <c r="F362" s="45"/>
    </row>
    <row r="363" spans="3:6" ht="15.75" customHeight="1" x14ac:dyDescent="0.2">
      <c r="C363" s="45"/>
      <c r="D363" s="45"/>
      <c r="E363" s="45"/>
      <c r="F363" s="45"/>
    </row>
    <row r="364" spans="3:6" ht="15.75" customHeight="1" x14ac:dyDescent="0.2">
      <c r="C364" s="45"/>
      <c r="D364" s="45"/>
      <c r="E364" s="45"/>
      <c r="F364" s="45"/>
    </row>
    <row r="365" spans="3:6" ht="15.75" customHeight="1" x14ac:dyDescent="0.2">
      <c r="C365" s="45"/>
      <c r="D365" s="45"/>
      <c r="E365" s="45"/>
      <c r="F365" s="45"/>
    </row>
    <row r="366" spans="3:6" ht="15.75" customHeight="1" x14ac:dyDescent="0.2">
      <c r="C366" s="45"/>
      <c r="D366" s="45"/>
      <c r="E366" s="45"/>
      <c r="F366" s="45"/>
    </row>
    <row r="367" spans="3:6" ht="15.75" customHeight="1" x14ac:dyDescent="0.2">
      <c r="C367" s="45"/>
      <c r="D367" s="45"/>
      <c r="E367" s="45"/>
      <c r="F367" s="45"/>
    </row>
    <row r="368" spans="3:6" ht="15.75" customHeight="1" x14ac:dyDescent="0.2">
      <c r="C368" s="45"/>
      <c r="D368" s="45"/>
      <c r="E368" s="45"/>
      <c r="F368" s="45"/>
    </row>
    <row r="369" spans="3:6" ht="15.75" customHeight="1" x14ac:dyDescent="0.2">
      <c r="C369" s="45"/>
      <c r="D369" s="45"/>
      <c r="E369" s="45"/>
      <c r="F369" s="45"/>
    </row>
    <row r="370" spans="3:6" ht="15.75" customHeight="1" x14ac:dyDescent="0.2">
      <c r="C370" s="45"/>
      <c r="D370" s="45"/>
      <c r="E370" s="45"/>
      <c r="F370" s="45"/>
    </row>
    <row r="371" spans="3:6" ht="15.75" customHeight="1" x14ac:dyDescent="0.2">
      <c r="C371" s="45"/>
      <c r="D371" s="45"/>
      <c r="E371" s="45"/>
      <c r="F371" s="45"/>
    </row>
    <row r="372" spans="3:6" ht="15.75" customHeight="1" x14ac:dyDescent="0.2">
      <c r="C372" s="45"/>
      <c r="D372" s="45"/>
      <c r="E372" s="45"/>
      <c r="F372" s="45"/>
    </row>
    <row r="373" spans="3:6" ht="15.75" customHeight="1" x14ac:dyDescent="0.2">
      <c r="C373" s="45"/>
      <c r="D373" s="45"/>
      <c r="E373" s="45"/>
      <c r="F373" s="45"/>
    </row>
    <row r="374" spans="3:6" ht="15.75" customHeight="1" x14ac:dyDescent="0.2">
      <c r="C374" s="45"/>
      <c r="D374" s="45"/>
      <c r="E374" s="45"/>
      <c r="F374" s="45"/>
    </row>
    <row r="375" spans="3:6" ht="15.75" customHeight="1" x14ac:dyDescent="0.2">
      <c r="C375" s="45"/>
      <c r="D375" s="45"/>
      <c r="E375" s="45"/>
      <c r="F375" s="45"/>
    </row>
    <row r="376" spans="3:6" ht="15.75" customHeight="1" x14ac:dyDescent="0.2">
      <c r="C376" s="45"/>
      <c r="D376" s="45"/>
      <c r="E376" s="45"/>
      <c r="F376" s="45"/>
    </row>
    <row r="377" spans="3:6" ht="15.75" customHeight="1" x14ac:dyDescent="0.2">
      <c r="C377" s="45"/>
      <c r="D377" s="45"/>
      <c r="E377" s="45"/>
      <c r="F377" s="45"/>
    </row>
    <row r="378" spans="3:6" ht="15.75" customHeight="1" x14ac:dyDescent="0.2">
      <c r="C378" s="45"/>
      <c r="D378" s="45"/>
      <c r="E378" s="45"/>
      <c r="F378" s="45"/>
    </row>
    <row r="379" spans="3:6" ht="15.75" customHeight="1" x14ac:dyDescent="0.2">
      <c r="C379" s="45"/>
      <c r="D379" s="45"/>
      <c r="E379" s="45"/>
      <c r="F379" s="45"/>
    </row>
    <row r="380" spans="3:6" ht="15.75" customHeight="1" x14ac:dyDescent="0.2">
      <c r="C380" s="45"/>
      <c r="D380" s="45"/>
      <c r="E380" s="45"/>
      <c r="F380" s="45"/>
    </row>
    <row r="381" spans="3:6" ht="15.75" customHeight="1" x14ac:dyDescent="0.2">
      <c r="C381" s="45"/>
      <c r="D381" s="45"/>
      <c r="E381" s="45"/>
      <c r="F381" s="45"/>
    </row>
    <row r="382" spans="3:6" ht="15.75" customHeight="1" x14ac:dyDescent="0.2">
      <c r="C382" s="45"/>
      <c r="D382" s="45"/>
      <c r="E382" s="45"/>
      <c r="F382" s="45"/>
    </row>
    <row r="383" spans="3:6" ht="15.75" customHeight="1" x14ac:dyDescent="0.2">
      <c r="C383" s="45"/>
      <c r="D383" s="45"/>
      <c r="E383" s="45"/>
      <c r="F383" s="45"/>
    </row>
    <row r="384" spans="3:6" ht="15.75" customHeight="1" x14ac:dyDescent="0.2">
      <c r="C384" s="45"/>
      <c r="D384" s="45"/>
      <c r="E384" s="45"/>
      <c r="F384" s="45"/>
    </row>
    <row r="385" spans="3:6" ht="15.75" customHeight="1" x14ac:dyDescent="0.2">
      <c r="C385" s="45"/>
      <c r="D385" s="45"/>
      <c r="E385" s="45"/>
      <c r="F385" s="45"/>
    </row>
    <row r="386" spans="3:6" ht="15.75" customHeight="1" x14ac:dyDescent="0.2">
      <c r="C386" s="45"/>
      <c r="D386" s="45"/>
      <c r="E386" s="45"/>
      <c r="F386" s="45"/>
    </row>
    <row r="387" spans="3:6" ht="15.75" customHeight="1" x14ac:dyDescent="0.2">
      <c r="C387" s="45"/>
      <c r="D387" s="45"/>
      <c r="E387" s="45"/>
      <c r="F387" s="45"/>
    </row>
    <row r="388" spans="3:6" ht="15.75" customHeight="1" x14ac:dyDescent="0.2">
      <c r="C388" s="45"/>
      <c r="D388" s="45"/>
      <c r="E388" s="45"/>
      <c r="F388" s="45"/>
    </row>
    <row r="389" spans="3:6" ht="15.75" customHeight="1" x14ac:dyDescent="0.2">
      <c r="C389" s="45"/>
      <c r="D389" s="45"/>
      <c r="E389" s="45"/>
      <c r="F389" s="45"/>
    </row>
    <row r="390" spans="3:6" ht="15.75" customHeight="1" x14ac:dyDescent="0.2">
      <c r="C390" s="45"/>
      <c r="D390" s="45"/>
      <c r="E390" s="45"/>
      <c r="F390" s="45"/>
    </row>
    <row r="391" spans="3:6" ht="15.75" customHeight="1" x14ac:dyDescent="0.2">
      <c r="C391" s="45"/>
      <c r="D391" s="45"/>
      <c r="E391" s="45"/>
      <c r="F391" s="45"/>
    </row>
    <row r="392" spans="3:6" ht="15.75" customHeight="1" x14ac:dyDescent="0.2">
      <c r="C392" s="45"/>
      <c r="D392" s="45"/>
      <c r="E392" s="45"/>
      <c r="F392" s="45"/>
    </row>
    <row r="393" spans="3:6" ht="15.75" customHeight="1" x14ac:dyDescent="0.2">
      <c r="C393" s="45"/>
      <c r="D393" s="45"/>
      <c r="E393" s="45"/>
      <c r="F393" s="45"/>
    </row>
    <row r="394" spans="3:6" ht="15.75" customHeight="1" x14ac:dyDescent="0.2">
      <c r="C394" s="45"/>
      <c r="D394" s="45"/>
      <c r="E394" s="45"/>
      <c r="F394" s="45"/>
    </row>
    <row r="395" spans="3:6" ht="15.75" customHeight="1" x14ac:dyDescent="0.2">
      <c r="C395" s="45"/>
      <c r="D395" s="45"/>
      <c r="E395" s="45"/>
      <c r="F395" s="45"/>
    </row>
    <row r="396" spans="3:6" ht="15.75" customHeight="1" x14ac:dyDescent="0.2">
      <c r="C396" s="45"/>
      <c r="D396" s="45"/>
      <c r="E396" s="45"/>
      <c r="F396" s="45"/>
    </row>
    <row r="397" spans="3:6" ht="15.75" customHeight="1" x14ac:dyDescent="0.2">
      <c r="C397" s="45"/>
      <c r="D397" s="45"/>
      <c r="E397" s="45"/>
      <c r="F397" s="45"/>
    </row>
    <row r="398" spans="3:6" ht="15.75" customHeight="1" x14ac:dyDescent="0.2">
      <c r="C398" s="45"/>
      <c r="D398" s="45"/>
      <c r="E398" s="45"/>
      <c r="F398" s="45"/>
    </row>
    <row r="399" spans="3:6" ht="15.75" customHeight="1" x14ac:dyDescent="0.2">
      <c r="C399" s="45"/>
      <c r="D399" s="45"/>
      <c r="E399" s="45"/>
      <c r="F399" s="45"/>
    </row>
    <row r="400" spans="3:6" ht="15.75" customHeight="1" x14ac:dyDescent="0.2">
      <c r="C400" s="45"/>
      <c r="D400" s="45"/>
      <c r="E400" s="45"/>
      <c r="F400" s="45"/>
    </row>
    <row r="401" spans="3:6" ht="15.75" customHeight="1" x14ac:dyDescent="0.2">
      <c r="C401" s="45"/>
      <c r="D401" s="45"/>
      <c r="E401" s="45"/>
      <c r="F401" s="45"/>
    </row>
    <row r="402" spans="3:6" ht="15.75" customHeight="1" x14ac:dyDescent="0.2">
      <c r="C402" s="45"/>
      <c r="D402" s="45"/>
      <c r="E402" s="45"/>
      <c r="F402" s="45"/>
    </row>
    <row r="403" spans="3:6" ht="15.75" customHeight="1" x14ac:dyDescent="0.2">
      <c r="C403" s="45"/>
      <c r="D403" s="45"/>
      <c r="E403" s="45"/>
      <c r="F403" s="45"/>
    </row>
    <row r="404" spans="3:6" ht="15.75" customHeight="1" x14ac:dyDescent="0.2">
      <c r="C404" s="45"/>
      <c r="D404" s="45"/>
      <c r="E404" s="45"/>
      <c r="F404" s="45"/>
    </row>
    <row r="405" spans="3:6" ht="15.75" customHeight="1" x14ac:dyDescent="0.2">
      <c r="C405" s="45"/>
      <c r="D405" s="45"/>
      <c r="E405" s="45"/>
      <c r="F405" s="45"/>
    </row>
    <row r="406" spans="3:6" ht="15.75" customHeight="1" x14ac:dyDescent="0.2">
      <c r="C406" s="45"/>
      <c r="D406" s="45"/>
      <c r="E406" s="45"/>
      <c r="F406" s="45"/>
    </row>
    <row r="407" spans="3:6" ht="15.75" customHeight="1" x14ac:dyDescent="0.2">
      <c r="C407" s="45"/>
      <c r="D407" s="45"/>
      <c r="E407" s="45"/>
      <c r="F407" s="45"/>
    </row>
    <row r="408" spans="3:6" ht="15.75" customHeight="1" x14ac:dyDescent="0.2">
      <c r="C408" s="45"/>
      <c r="D408" s="45"/>
      <c r="E408" s="45"/>
      <c r="F408" s="45"/>
    </row>
    <row r="409" spans="3:6" ht="15.75" customHeight="1" x14ac:dyDescent="0.2">
      <c r="C409" s="45"/>
      <c r="D409" s="45"/>
      <c r="E409" s="45"/>
      <c r="F409" s="45"/>
    </row>
    <row r="410" spans="3:6" ht="15.75" customHeight="1" x14ac:dyDescent="0.2">
      <c r="C410" s="45"/>
      <c r="D410" s="45"/>
      <c r="E410" s="45"/>
      <c r="F410" s="45"/>
    </row>
    <row r="411" spans="3:6" ht="15.75" customHeight="1" x14ac:dyDescent="0.2">
      <c r="C411" s="45"/>
      <c r="D411" s="45"/>
      <c r="E411" s="45"/>
      <c r="F411" s="45"/>
    </row>
    <row r="412" spans="3:6" ht="15.75" customHeight="1" x14ac:dyDescent="0.2">
      <c r="C412" s="45"/>
      <c r="D412" s="45"/>
      <c r="E412" s="45"/>
      <c r="F412" s="45"/>
    </row>
    <row r="413" spans="3:6" ht="15.75" customHeight="1" x14ac:dyDescent="0.2">
      <c r="C413" s="45"/>
      <c r="D413" s="45"/>
      <c r="E413" s="45"/>
      <c r="F413" s="45"/>
    </row>
    <row r="414" spans="3:6" ht="15.75" customHeight="1" x14ac:dyDescent="0.2">
      <c r="C414" s="45"/>
      <c r="D414" s="45"/>
      <c r="E414" s="45"/>
      <c r="F414" s="45"/>
    </row>
    <row r="415" spans="3:6" ht="15.75" customHeight="1" x14ac:dyDescent="0.2">
      <c r="C415" s="45"/>
      <c r="D415" s="45"/>
      <c r="E415" s="45"/>
      <c r="F415" s="45"/>
    </row>
    <row r="416" spans="3:6" ht="15.75" customHeight="1" x14ac:dyDescent="0.2">
      <c r="C416" s="45"/>
      <c r="D416" s="45"/>
      <c r="E416" s="45"/>
      <c r="F416" s="45"/>
    </row>
    <row r="417" spans="3:6" ht="15.75" customHeight="1" x14ac:dyDescent="0.2">
      <c r="C417" s="45"/>
      <c r="D417" s="45"/>
      <c r="E417" s="45"/>
      <c r="F417" s="45"/>
    </row>
    <row r="418" spans="3:6" ht="15.75" customHeight="1" x14ac:dyDescent="0.2">
      <c r="C418" s="45"/>
      <c r="D418" s="45"/>
      <c r="E418" s="45"/>
      <c r="F418" s="45"/>
    </row>
    <row r="419" spans="3:6" ht="15.75" customHeight="1" x14ac:dyDescent="0.2">
      <c r="C419" s="45"/>
      <c r="D419" s="45"/>
      <c r="E419" s="45"/>
      <c r="F419" s="45"/>
    </row>
    <row r="420" spans="3:6" ht="15.75" customHeight="1" x14ac:dyDescent="0.2">
      <c r="C420" s="45"/>
      <c r="D420" s="45"/>
      <c r="E420" s="45"/>
      <c r="F420" s="45"/>
    </row>
    <row r="421" spans="3:6" ht="15.75" customHeight="1" x14ac:dyDescent="0.2">
      <c r="C421" s="45"/>
      <c r="D421" s="45"/>
      <c r="E421" s="45"/>
      <c r="F421" s="45"/>
    </row>
    <row r="422" spans="3:6" ht="15.75" customHeight="1" x14ac:dyDescent="0.2">
      <c r="C422" s="45"/>
      <c r="D422" s="45"/>
      <c r="E422" s="45"/>
      <c r="F422" s="45"/>
    </row>
    <row r="423" spans="3:6" ht="15.75" customHeight="1" x14ac:dyDescent="0.2">
      <c r="C423" s="45"/>
      <c r="D423" s="45"/>
      <c r="E423" s="45"/>
      <c r="F423" s="45"/>
    </row>
    <row r="424" spans="3:6" ht="15.75" customHeight="1" x14ac:dyDescent="0.2">
      <c r="C424" s="45"/>
      <c r="D424" s="45"/>
      <c r="E424" s="45"/>
      <c r="F424" s="45"/>
    </row>
    <row r="425" spans="3:6" ht="15.75" customHeight="1" x14ac:dyDescent="0.2">
      <c r="C425" s="45"/>
      <c r="D425" s="45"/>
      <c r="E425" s="45"/>
      <c r="F425" s="45"/>
    </row>
    <row r="426" spans="3:6" ht="15.75" customHeight="1" x14ac:dyDescent="0.2">
      <c r="C426" s="45"/>
      <c r="D426" s="45"/>
      <c r="E426" s="45"/>
      <c r="F426" s="45"/>
    </row>
    <row r="427" spans="3:6" ht="15.75" customHeight="1" x14ac:dyDescent="0.2">
      <c r="C427" s="45"/>
      <c r="D427" s="45"/>
      <c r="E427" s="45"/>
      <c r="F427" s="45"/>
    </row>
    <row r="428" spans="3:6" ht="15.75" customHeight="1" x14ac:dyDescent="0.2">
      <c r="C428" s="45"/>
      <c r="D428" s="45"/>
      <c r="E428" s="45"/>
      <c r="F428" s="45"/>
    </row>
    <row r="429" spans="3:6" ht="15.75" customHeight="1" x14ac:dyDescent="0.2">
      <c r="C429" s="45"/>
      <c r="D429" s="45"/>
      <c r="E429" s="45"/>
      <c r="F429" s="45"/>
    </row>
    <row r="430" spans="3:6" ht="15.75" customHeight="1" x14ac:dyDescent="0.2">
      <c r="C430" s="45"/>
      <c r="D430" s="45"/>
      <c r="E430" s="45"/>
      <c r="F430" s="45"/>
    </row>
    <row r="431" spans="3:6" ht="15.75" customHeight="1" x14ac:dyDescent="0.2">
      <c r="C431" s="45"/>
      <c r="D431" s="45"/>
      <c r="E431" s="45"/>
      <c r="F431" s="45"/>
    </row>
    <row r="432" spans="3:6" ht="15.75" customHeight="1" x14ac:dyDescent="0.2">
      <c r="C432" s="45"/>
      <c r="D432" s="45"/>
      <c r="E432" s="45"/>
      <c r="F432" s="45"/>
    </row>
    <row r="433" spans="3:6" ht="15.75" customHeight="1" x14ac:dyDescent="0.2">
      <c r="C433" s="45"/>
      <c r="D433" s="45"/>
      <c r="E433" s="45"/>
      <c r="F433" s="45"/>
    </row>
    <row r="434" spans="3:6" ht="15.75" customHeight="1" x14ac:dyDescent="0.2">
      <c r="C434" s="45"/>
      <c r="D434" s="45"/>
      <c r="E434" s="45"/>
      <c r="F434" s="45"/>
    </row>
    <row r="435" spans="3:6" ht="15.75" customHeight="1" x14ac:dyDescent="0.2">
      <c r="C435" s="45"/>
      <c r="D435" s="45"/>
      <c r="E435" s="45"/>
      <c r="F435" s="45"/>
    </row>
    <row r="436" spans="3:6" ht="15.75" customHeight="1" x14ac:dyDescent="0.2">
      <c r="C436" s="45"/>
      <c r="D436" s="45"/>
      <c r="E436" s="45"/>
      <c r="F436" s="45"/>
    </row>
    <row r="437" spans="3:6" ht="15.75" customHeight="1" x14ac:dyDescent="0.2">
      <c r="C437" s="45"/>
      <c r="D437" s="45"/>
      <c r="E437" s="45"/>
      <c r="F437" s="45"/>
    </row>
    <row r="438" spans="3:6" ht="15.75" customHeight="1" x14ac:dyDescent="0.2">
      <c r="C438" s="45"/>
      <c r="D438" s="45"/>
      <c r="E438" s="45"/>
      <c r="F438" s="45"/>
    </row>
    <row r="439" spans="3:6" ht="15.75" customHeight="1" x14ac:dyDescent="0.2">
      <c r="C439" s="45"/>
      <c r="D439" s="45"/>
      <c r="E439" s="45"/>
      <c r="F439" s="45"/>
    </row>
    <row r="440" spans="3:6" ht="15.75" customHeight="1" x14ac:dyDescent="0.2">
      <c r="C440" s="45"/>
      <c r="D440" s="45"/>
      <c r="E440" s="45"/>
      <c r="F440" s="45"/>
    </row>
    <row r="441" spans="3:6" ht="15.75" customHeight="1" x14ac:dyDescent="0.2">
      <c r="C441" s="45"/>
      <c r="D441" s="45"/>
      <c r="E441" s="45"/>
      <c r="F441" s="45"/>
    </row>
    <row r="442" spans="3:6" ht="15.75" customHeight="1" x14ac:dyDescent="0.2">
      <c r="C442" s="45"/>
      <c r="D442" s="45"/>
      <c r="E442" s="45"/>
      <c r="F442" s="45"/>
    </row>
    <row r="443" spans="3:6" ht="15.75" customHeight="1" x14ac:dyDescent="0.2">
      <c r="C443" s="45"/>
      <c r="D443" s="45"/>
      <c r="E443" s="45"/>
      <c r="F443" s="45"/>
    </row>
    <row r="444" spans="3:6" ht="15.75" customHeight="1" x14ac:dyDescent="0.2">
      <c r="C444" s="45"/>
      <c r="D444" s="45"/>
      <c r="E444" s="45"/>
      <c r="F444" s="45"/>
    </row>
    <row r="445" spans="3:6" ht="15.75" customHeight="1" x14ac:dyDescent="0.2">
      <c r="C445" s="45"/>
      <c r="D445" s="45"/>
      <c r="E445" s="45"/>
      <c r="F445" s="45"/>
    </row>
    <row r="446" spans="3:6" ht="15.75" customHeight="1" x14ac:dyDescent="0.2">
      <c r="C446" s="45"/>
      <c r="D446" s="45"/>
      <c r="E446" s="45"/>
      <c r="F446" s="45"/>
    </row>
    <row r="447" spans="3:6" ht="15.75" customHeight="1" x14ac:dyDescent="0.2">
      <c r="C447" s="45"/>
      <c r="D447" s="45"/>
      <c r="E447" s="45"/>
      <c r="F447" s="45"/>
    </row>
    <row r="448" spans="3:6" ht="15.75" customHeight="1" x14ac:dyDescent="0.2">
      <c r="C448" s="45"/>
      <c r="D448" s="45"/>
      <c r="E448" s="45"/>
      <c r="F448" s="45"/>
    </row>
    <row r="449" spans="3:6" ht="15.75" customHeight="1" x14ac:dyDescent="0.2">
      <c r="C449" s="45"/>
      <c r="D449" s="45"/>
      <c r="E449" s="45"/>
      <c r="F449" s="45"/>
    </row>
    <row r="450" spans="3:6" ht="15.75" customHeight="1" x14ac:dyDescent="0.2">
      <c r="C450" s="45"/>
      <c r="D450" s="45"/>
      <c r="E450" s="45"/>
      <c r="F450" s="45"/>
    </row>
    <row r="451" spans="3:6" ht="15.75" customHeight="1" x14ac:dyDescent="0.2">
      <c r="C451" s="45"/>
      <c r="D451" s="45"/>
      <c r="E451" s="45"/>
      <c r="F451" s="45"/>
    </row>
    <row r="452" spans="3:6" ht="15.75" customHeight="1" x14ac:dyDescent="0.2">
      <c r="C452" s="45"/>
      <c r="D452" s="45"/>
      <c r="E452" s="45"/>
      <c r="F452" s="45"/>
    </row>
    <row r="453" spans="3:6" ht="15.75" customHeight="1" x14ac:dyDescent="0.2">
      <c r="C453" s="45"/>
      <c r="D453" s="45"/>
      <c r="E453" s="45"/>
      <c r="F453" s="45"/>
    </row>
    <row r="454" spans="3:6" ht="15.75" customHeight="1" x14ac:dyDescent="0.2">
      <c r="C454" s="45"/>
      <c r="D454" s="45"/>
      <c r="E454" s="45"/>
      <c r="F454" s="45"/>
    </row>
    <row r="455" spans="3:6" ht="15.75" customHeight="1" x14ac:dyDescent="0.2">
      <c r="C455" s="45"/>
      <c r="D455" s="45"/>
      <c r="E455" s="45"/>
      <c r="F455" s="45"/>
    </row>
    <row r="456" spans="3:6" ht="15.75" customHeight="1" x14ac:dyDescent="0.2">
      <c r="C456" s="45"/>
      <c r="D456" s="45"/>
      <c r="E456" s="45"/>
      <c r="F456" s="45"/>
    </row>
    <row r="457" spans="3:6" ht="15.75" customHeight="1" x14ac:dyDescent="0.2">
      <c r="C457" s="45"/>
      <c r="D457" s="45"/>
      <c r="E457" s="45"/>
      <c r="F457" s="45"/>
    </row>
    <row r="458" spans="3:6" ht="15.75" customHeight="1" x14ac:dyDescent="0.2">
      <c r="C458" s="45"/>
      <c r="D458" s="45"/>
      <c r="E458" s="45"/>
      <c r="F458" s="45"/>
    </row>
    <row r="459" spans="3:6" ht="15.75" customHeight="1" x14ac:dyDescent="0.2">
      <c r="C459" s="45"/>
      <c r="D459" s="45"/>
      <c r="E459" s="45"/>
      <c r="F459" s="45"/>
    </row>
    <row r="460" spans="3:6" ht="15.75" customHeight="1" x14ac:dyDescent="0.2">
      <c r="C460" s="45"/>
      <c r="D460" s="45"/>
      <c r="E460" s="45"/>
      <c r="F460" s="45"/>
    </row>
    <row r="461" spans="3:6" ht="15.75" customHeight="1" x14ac:dyDescent="0.2">
      <c r="C461" s="45"/>
      <c r="D461" s="45"/>
      <c r="E461" s="45"/>
      <c r="F461" s="45"/>
    </row>
    <row r="462" spans="3:6" ht="15.75" customHeight="1" x14ac:dyDescent="0.2">
      <c r="C462" s="45"/>
      <c r="D462" s="45"/>
      <c r="E462" s="45"/>
      <c r="F462" s="45"/>
    </row>
    <row r="463" spans="3:6" ht="15.75" customHeight="1" x14ac:dyDescent="0.2">
      <c r="C463" s="45"/>
      <c r="D463" s="45"/>
      <c r="E463" s="45"/>
      <c r="F463" s="45"/>
    </row>
    <row r="464" spans="3:6" ht="15.75" customHeight="1" x14ac:dyDescent="0.2">
      <c r="C464" s="45"/>
      <c r="D464" s="45"/>
      <c r="E464" s="45"/>
      <c r="F464" s="45"/>
    </row>
    <row r="465" spans="3:6" ht="15.75" customHeight="1" x14ac:dyDescent="0.2">
      <c r="C465" s="45"/>
      <c r="D465" s="45"/>
      <c r="E465" s="45"/>
      <c r="F465" s="45"/>
    </row>
    <row r="466" spans="3:6" ht="15.75" customHeight="1" x14ac:dyDescent="0.2">
      <c r="C466" s="45"/>
      <c r="D466" s="45"/>
      <c r="E466" s="45"/>
      <c r="F466" s="45"/>
    </row>
    <row r="467" spans="3:6" ht="15.75" customHeight="1" x14ac:dyDescent="0.2">
      <c r="C467" s="45"/>
      <c r="D467" s="45"/>
      <c r="E467" s="45"/>
      <c r="F467" s="45"/>
    </row>
    <row r="468" spans="3:6" ht="15.75" customHeight="1" x14ac:dyDescent="0.2">
      <c r="C468" s="45"/>
      <c r="D468" s="45"/>
      <c r="E468" s="45"/>
      <c r="F468" s="45"/>
    </row>
    <row r="469" spans="3:6" ht="15.75" customHeight="1" x14ac:dyDescent="0.2">
      <c r="C469" s="45"/>
      <c r="D469" s="45"/>
      <c r="E469" s="45"/>
      <c r="F469" s="45"/>
    </row>
    <row r="470" spans="3:6" ht="15.75" customHeight="1" x14ac:dyDescent="0.2">
      <c r="C470" s="45"/>
      <c r="D470" s="45"/>
      <c r="E470" s="45"/>
      <c r="F470" s="45"/>
    </row>
    <row r="471" spans="3:6" ht="15.75" customHeight="1" x14ac:dyDescent="0.2">
      <c r="C471" s="45"/>
      <c r="D471" s="45"/>
      <c r="E471" s="45"/>
      <c r="F471" s="45"/>
    </row>
    <row r="472" spans="3:6" ht="15.75" customHeight="1" x14ac:dyDescent="0.2">
      <c r="C472" s="45"/>
      <c r="D472" s="45"/>
      <c r="E472" s="45"/>
      <c r="F472" s="45"/>
    </row>
    <row r="473" spans="3:6" ht="15.75" customHeight="1" x14ac:dyDescent="0.2">
      <c r="C473" s="45"/>
      <c r="D473" s="45"/>
      <c r="E473" s="45"/>
      <c r="F473" s="45"/>
    </row>
    <row r="474" spans="3:6" ht="15.75" customHeight="1" x14ac:dyDescent="0.2">
      <c r="C474" s="45"/>
      <c r="D474" s="45"/>
      <c r="E474" s="45"/>
      <c r="F474" s="45"/>
    </row>
    <row r="475" spans="3:6" ht="15.75" customHeight="1" x14ac:dyDescent="0.2">
      <c r="C475" s="45"/>
      <c r="D475" s="45"/>
      <c r="E475" s="45"/>
      <c r="F475" s="45"/>
    </row>
    <row r="476" spans="3:6" ht="15.75" customHeight="1" x14ac:dyDescent="0.2">
      <c r="C476" s="45"/>
      <c r="D476" s="45"/>
      <c r="E476" s="45"/>
      <c r="F476" s="45"/>
    </row>
    <row r="477" spans="3:6" ht="15.75" customHeight="1" x14ac:dyDescent="0.2">
      <c r="C477" s="45"/>
      <c r="D477" s="45"/>
      <c r="E477" s="45"/>
      <c r="F477" s="45"/>
    </row>
    <row r="478" spans="3:6" ht="15.75" customHeight="1" x14ac:dyDescent="0.2">
      <c r="C478" s="45"/>
      <c r="D478" s="45"/>
      <c r="E478" s="45"/>
      <c r="F478" s="45"/>
    </row>
    <row r="479" spans="3:6" ht="15.75" customHeight="1" x14ac:dyDescent="0.2">
      <c r="C479" s="45"/>
      <c r="D479" s="45"/>
      <c r="E479" s="45"/>
      <c r="F479" s="45"/>
    </row>
    <row r="480" spans="3:6" ht="15.75" customHeight="1" x14ac:dyDescent="0.2">
      <c r="C480" s="45"/>
      <c r="D480" s="45"/>
      <c r="E480" s="45"/>
      <c r="F480" s="45"/>
    </row>
    <row r="481" spans="3:6" ht="15.75" customHeight="1" x14ac:dyDescent="0.2">
      <c r="C481" s="45"/>
      <c r="D481" s="45"/>
      <c r="E481" s="45"/>
      <c r="F481" s="45"/>
    </row>
    <row r="482" spans="3:6" ht="15.75" customHeight="1" x14ac:dyDescent="0.2">
      <c r="C482" s="45"/>
      <c r="D482" s="45"/>
      <c r="E482" s="45"/>
      <c r="F482" s="45"/>
    </row>
    <row r="483" spans="3:6" ht="15.75" customHeight="1" x14ac:dyDescent="0.2">
      <c r="C483" s="45"/>
      <c r="D483" s="45"/>
      <c r="E483" s="45"/>
      <c r="F483" s="45"/>
    </row>
    <row r="484" spans="3:6" ht="15.75" customHeight="1" x14ac:dyDescent="0.2">
      <c r="C484" s="45"/>
      <c r="D484" s="45"/>
      <c r="E484" s="45"/>
      <c r="F484" s="45"/>
    </row>
    <row r="485" spans="3:6" ht="15.75" customHeight="1" x14ac:dyDescent="0.2">
      <c r="C485" s="45"/>
      <c r="D485" s="45"/>
      <c r="E485" s="45"/>
      <c r="F485" s="45"/>
    </row>
    <row r="486" spans="3:6" ht="15.75" customHeight="1" x14ac:dyDescent="0.2">
      <c r="C486" s="45"/>
      <c r="D486" s="45"/>
      <c r="E486" s="45"/>
      <c r="F486" s="45"/>
    </row>
    <row r="487" spans="3:6" ht="15.75" customHeight="1" x14ac:dyDescent="0.2">
      <c r="C487" s="45"/>
      <c r="D487" s="45"/>
      <c r="E487" s="45"/>
      <c r="F487" s="45"/>
    </row>
    <row r="488" spans="3:6" ht="15.75" customHeight="1" x14ac:dyDescent="0.2">
      <c r="C488" s="45"/>
      <c r="D488" s="45"/>
      <c r="E488" s="45"/>
      <c r="F488" s="45"/>
    </row>
    <row r="489" spans="3:6" ht="15.75" customHeight="1" x14ac:dyDescent="0.2">
      <c r="C489" s="45"/>
      <c r="D489" s="45"/>
      <c r="E489" s="45"/>
      <c r="F489" s="45"/>
    </row>
    <row r="490" spans="3:6" ht="15.75" customHeight="1" x14ac:dyDescent="0.2">
      <c r="C490" s="45"/>
      <c r="D490" s="45"/>
      <c r="E490" s="45"/>
      <c r="F490" s="45"/>
    </row>
    <row r="491" spans="3:6" ht="15.75" customHeight="1" x14ac:dyDescent="0.2">
      <c r="C491" s="45"/>
      <c r="D491" s="45"/>
      <c r="E491" s="45"/>
      <c r="F491" s="45"/>
    </row>
    <row r="492" spans="3:6" ht="15.75" customHeight="1" x14ac:dyDescent="0.2">
      <c r="C492" s="45"/>
      <c r="D492" s="45"/>
      <c r="E492" s="45"/>
      <c r="F492" s="45"/>
    </row>
    <row r="493" spans="3:6" ht="15.75" customHeight="1" x14ac:dyDescent="0.2">
      <c r="C493" s="45"/>
      <c r="D493" s="45"/>
      <c r="E493" s="45"/>
      <c r="F493" s="45"/>
    </row>
    <row r="494" spans="3:6" ht="15.75" customHeight="1" x14ac:dyDescent="0.2">
      <c r="C494" s="45"/>
      <c r="D494" s="45"/>
      <c r="E494" s="45"/>
      <c r="F494" s="45"/>
    </row>
    <row r="495" spans="3:6" ht="15.75" customHeight="1" x14ac:dyDescent="0.2">
      <c r="C495" s="45"/>
      <c r="D495" s="45"/>
      <c r="E495" s="45"/>
      <c r="F495" s="45"/>
    </row>
    <row r="496" spans="3:6" ht="15.75" customHeight="1" x14ac:dyDescent="0.2">
      <c r="C496" s="45"/>
      <c r="D496" s="45"/>
      <c r="E496" s="45"/>
      <c r="F496" s="45"/>
    </row>
    <row r="497" spans="3:6" ht="15.75" customHeight="1" x14ac:dyDescent="0.2">
      <c r="C497" s="45"/>
      <c r="D497" s="45"/>
      <c r="E497" s="45"/>
      <c r="F497" s="45"/>
    </row>
    <row r="498" spans="3:6" ht="15.75" customHeight="1" x14ac:dyDescent="0.2">
      <c r="C498" s="45"/>
      <c r="D498" s="45"/>
      <c r="E498" s="45"/>
      <c r="F498" s="45"/>
    </row>
    <row r="499" spans="3:6" ht="15.75" customHeight="1" x14ac:dyDescent="0.2">
      <c r="C499" s="45"/>
      <c r="D499" s="45"/>
      <c r="E499" s="45"/>
      <c r="F499" s="45"/>
    </row>
    <row r="500" spans="3:6" ht="15.75" customHeight="1" x14ac:dyDescent="0.2">
      <c r="C500" s="45"/>
      <c r="D500" s="45"/>
      <c r="E500" s="45"/>
      <c r="F500" s="45"/>
    </row>
    <row r="501" spans="3:6" ht="15.75" customHeight="1" x14ac:dyDescent="0.2">
      <c r="C501" s="45"/>
      <c r="D501" s="45"/>
      <c r="E501" s="45"/>
      <c r="F501" s="45"/>
    </row>
    <row r="502" spans="3:6" ht="15.75" customHeight="1" x14ac:dyDescent="0.2">
      <c r="C502" s="45"/>
      <c r="D502" s="45"/>
      <c r="E502" s="45"/>
      <c r="F502" s="45"/>
    </row>
    <row r="503" spans="3:6" ht="15.75" customHeight="1" x14ac:dyDescent="0.2">
      <c r="C503" s="45"/>
      <c r="D503" s="45"/>
      <c r="E503" s="45"/>
      <c r="F503" s="45"/>
    </row>
    <row r="504" spans="3:6" ht="15.75" customHeight="1" x14ac:dyDescent="0.2">
      <c r="C504" s="45"/>
      <c r="D504" s="45"/>
      <c r="E504" s="45"/>
      <c r="F504" s="45"/>
    </row>
    <row r="505" spans="3:6" ht="15.75" customHeight="1" x14ac:dyDescent="0.2">
      <c r="C505" s="45"/>
      <c r="D505" s="45"/>
      <c r="E505" s="45"/>
      <c r="F505" s="45"/>
    </row>
    <row r="506" spans="3:6" ht="15.75" customHeight="1" x14ac:dyDescent="0.2">
      <c r="C506" s="45"/>
      <c r="D506" s="45"/>
      <c r="E506" s="45"/>
      <c r="F506" s="45"/>
    </row>
    <row r="507" spans="3:6" ht="15.75" customHeight="1" x14ac:dyDescent="0.2">
      <c r="C507" s="45"/>
      <c r="D507" s="45"/>
      <c r="E507" s="45"/>
      <c r="F507" s="45"/>
    </row>
    <row r="508" spans="3:6" ht="15.75" customHeight="1" x14ac:dyDescent="0.2">
      <c r="C508" s="45"/>
      <c r="D508" s="45"/>
      <c r="E508" s="45"/>
      <c r="F508" s="45"/>
    </row>
    <row r="509" spans="3:6" ht="15.75" customHeight="1" x14ac:dyDescent="0.2">
      <c r="C509" s="45"/>
      <c r="D509" s="45"/>
      <c r="E509" s="45"/>
      <c r="F509" s="45"/>
    </row>
    <row r="510" spans="3:6" ht="15.75" customHeight="1" x14ac:dyDescent="0.2">
      <c r="C510" s="45"/>
      <c r="D510" s="45"/>
      <c r="E510" s="45"/>
      <c r="F510" s="45"/>
    </row>
    <row r="511" spans="3:6" ht="15.75" customHeight="1" x14ac:dyDescent="0.2">
      <c r="C511" s="45"/>
      <c r="D511" s="45"/>
      <c r="E511" s="45"/>
      <c r="F511" s="45"/>
    </row>
    <row r="512" spans="3:6" ht="15.75" customHeight="1" x14ac:dyDescent="0.2">
      <c r="C512" s="45"/>
      <c r="D512" s="45"/>
      <c r="E512" s="45"/>
      <c r="F512" s="45"/>
    </row>
    <row r="513" spans="3:6" ht="15.75" customHeight="1" x14ac:dyDescent="0.2">
      <c r="C513" s="45"/>
      <c r="D513" s="45"/>
      <c r="E513" s="45"/>
      <c r="F513" s="45"/>
    </row>
    <row r="514" spans="3:6" ht="15.75" customHeight="1" x14ac:dyDescent="0.2">
      <c r="C514" s="45"/>
      <c r="D514" s="45"/>
      <c r="E514" s="45"/>
      <c r="F514" s="45"/>
    </row>
    <row r="515" spans="3:6" ht="15.75" customHeight="1" x14ac:dyDescent="0.2">
      <c r="C515" s="45"/>
      <c r="D515" s="45"/>
      <c r="E515" s="45"/>
      <c r="F515" s="45"/>
    </row>
    <row r="516" spans="3:6" ht="15.75" customHeight="1" x14ac:dyDescent="0.2">
      <c r="C516" s="45"/>
      <c r="D516" s="45"/>
      <c r="E516" s="45"/>
      <c r="F516" s="45"/>
    </row>
    <row r="517" spans="3:6" ht="15.75" customHeight="1" x14ac:dyDescent="0.2">
      <c r="C517" s="45"/>
      <c r="D517" s="45"/>
      <c r="E517" s="45"/>
      <c r="F517" s="45"/>
    </row>
    <row r="518" spans="3:6" ht="15.75" customHeight="1" x14ac:dyDescent="0.2">
      <c r="C518" s="45"/>
      <c r="D518" s="45"/>
      <c r="E518" s="45"/>
      <c r="F518" s="45"/>
    </row>
    <row r="519" spans="3:6" ht="15.75" customHeight="1" x14ac:dyDescent="0.2">
      <c r="C519" s="45"/>
      <c r="D519" s="45"/>
      <c r="E519" s="45"/>
      <c r="F519" s="45"/>
    </row>
    <row r="520" spans="3:6" ht="15.75" customHeight="1" x14ac:dyDescent="0.2">
      <c r="C520" s="45"/>
      <c r="D520" s="45"/>
      <c r="E520" s="45"/>
      <c r="F520" s="45"/>
    </row>
    <row r="521" spans="3:6" ht="15.75" customHeight="1" x14ac:dyDescent="0.2">
      <c r="C521" s="45"/>
      <c r="D521" s="45"/>
      <c r="E521" s="45"/>
      <c r="F521" s="45"/>
    </row>
    <row r="522" spans="3:6" ht="15.75" customHeight="1" x14ac:dyDescent="0.2">
      <c r="C522" s="45"/>
      <c r="D522" s="45"/>
      <c r="E522" s="45"/>
      <c r="F522" s="45"/>
    </row>
    <row r="523" spans="3:6" ht="15.75" customHeight="1" x14ac:dyDescent="0.2">
      <c r="C523" s="45"/>
      <c r="D523" s="45"/>
      <c r="E523" s="45"/>
      <c r="F523" s="45"/>
    </row>
    <row r="524" spans="3:6" ht="15.75" customHeight="1" x14ac:dyDescent="0.2">
      <c r="C524" s="45"/>
      <c r="D524" s="45"/>
      <c r="E524" s="45"/>
      <c r="F524" s="45"/>
    </row>
    <row r="525" spans="3:6" ht="15.75" customHeight="1" x14ac:dyDescent="0.2">
      <c r="C525" s="45"/>
      <c r="D525" s="45"/>
      <c r="E525" s="45"/>
      <c r="F525" s="45"/>
    </row>
    <row r="526" spans="3:6" ht="15.75" customHeight="1" x14ac:dyDescent="0.2">
      <c r="C526" s="45"/>
      <c r="D526" s="45"/>
      <c r="E526" s="45"/>
      <c r="F526" s="45"/>
    </row>
    <row r="527" spans="3:6" ht="15.75" customHeight="1" x14ac:dyDescent="0.2">
      <c r="C527" s="45"/>
      <c r="D527" s="45"/>
      <c r="E527" s="45"/>
      <c r="F527" s="45"/>
    </row>
    <row r="528" spans="3:6" ht="15.75" customHeight="1" x14ac:dyDescent="0.2">
      <c r="C528" s="45"/>
      <c r="D528" s="45"/>
      <c r="E528" s="45"/>
      <c r="F528" s="45"/>
    </row>
    <row r="529" spans="3:6" ht="15.75" customHeight="1" x14ac:dyDescent="0.2">
      <c r="C529" s="45"/>
      <c r="D529" s="45"/>
      <c r="E529" s="45"/>
      <c r="F529" s="45"/>
    </row>
    <row r="530" spans="3:6" ht="15.75" customHeight="1" x14ac:dyDescent="0.2">
      <c r="C530" s="45"/>
      <c r="D530" s="45"/>
      <c r="E530" s="45"/>
      <c r="F530" s="45"/>
    </row>
    <row r="531" spans="3:6" ht="15.75" customHeight="1" x14ac:dyDescent="0.2">
      <c r="C531" s="45"/>
      <c r="D531" s="45"/>
      <c r="E531" s="45"/>
      <c r="F531" s="45"/>
    </row>
    <row r="532" spans="3:6" ht="15.75" customHeight="1" x14ac:dyDescent="0.2">
      <c r="C532" s="45"/>
      <c r="D532" s="45"/>
      <c r="E532" s="45"/>
      <c r="F532" s="45"/>
    </row>
    <row r="533" spans="3:6" ht="15.75" customHeight="1" x14ac:dyDescent="0.2">
      <c r="C533" s="45"/>
      <c r="D533" s="45"/>
      <c r="E533" s="45"/>
      <c r="F533" s="45"/>
    </row>
    <row r="534" spans="3:6" ht="15.75" customHeight="1" x14ac:dyDescent="0.2">
      <c r="C534" s="45"/>
      <c r="D534" s="45"/>
      <c r="E534" s="45"/>
      <c r="F534" s="45"/>
    </row>
    <row r="535" spans="3:6" ht="15.75" customHeight="1" x14ac:dyDescent="0.2">
      <c r="C535" s="45"/>
      <c r="D535" s="45"/>
      <c r="E535" s="45"/>
      <c r="F535" s="45"/>
    </row>
    <row r="536" spans="3:6" ht="15.75" customHeight="1" x14ac:dyDescent="0.2">
      <c r="C536" s="45"/>
      <c r="D536" s="45"/>
      <c r="E536" s="45"/>
      <c r="F536" s="45"/>
    </row>
    <row r="537" spans="3:6" ht="15.75" customHeight="1" x14ac:dyDescent="0.2">
      <c r="C537" s="45"/>
      <c r="D537" s="45"/>
      <c r="E537" s="45"/>
      <c r="F537" s="45"/>
    </row>
    <row r="538" spans="3:6" ht="15.75" customHeight="1" x14ac:dyDescent="0.2">
      <c r="C538" s="45"/>
      <c r="D538" s="45"/>
      <c r="E538" s="45"/>
      <c r="F538" s="45"/>
    </row>
    <row r="539" spans="3:6" ht="15.75" customHeight="1" x14ac:dyDescent="0.2">
      <c r="C539" s="45"/>
      <c r="D539" s="45"/>
      <c r="E539" s="45"/>
      <c r="F539" s="45"/>
    </row>
    <row r="540" spans="3:6" ht="15.75" customHeight="1" x14ac:dyDescent="0.2">
      <c r="C540" s="45"/>
      <c r="D540" s="45"/>
      <c r="E540" s="45"/>
      <c r="F540" s="45"/>
    </row>
    <row r="541" spans="3:6" ht="15.75" customHeight="1" x14ac:dyDescent="0.2">
      <c r="C541" s="45"/>
      <c r="D541" s="45"/>
      <c r="E541" s="45"/>
      <c r="F541" s="45"/>
    </row>
    <row r="542" spans="3:6" ht="15.75" customHeight="1" x14ac:dyDescent="0.2">
      <c r="C542" s="45"/>
      <c r="D542" s="45"/>
      <c r="E542" s="45"/>
      <c r="F542" s="45"/>
    </row>
    <row r="543" spans="3:6" ht="15.75" customHeight="1" x14ac:dyDescent="0.2">
      <c r="C543" s="45"/>
      <c r="D543" s="45"/>
      <c r="E543" s="45"/>
      <c r="F543" s="45"/>
    </row>
    <row r="544" spans="3:6" ht="15.75" customHeight="1" x14ac:dyDescent="0.2">
      <c r="C544" s="45"/>
      <c r="D544" s="45"/>
      <c r="E544" s="45"/>
      <c r="F544" s="45"/>
    </row>
    <row r="545" spans="3:6" ht="15.75" customHeight="1" x14ac:dyDescent="0.2">
      <c r="C545" s="45"/>
      <c r="D545" s="45"/>
      <c r="E545" s="45"/>
      <c r="F545" s="45"/>
    </row>
    <row r="546" spans="3:6" ht="15.75" customHeight="1" x14ac:dyDescent="0.2">
      <c r="C546" s="45"/>
      <c r="D546" s="45"/>
      <c r="E546" s="45"/>
      <c r="F546" s="45"/>
    </row>
    <row r="547" spans="3:6" ht="15.75" customHeight="1" x14ac:dyDescent="0.2">
      <c r="C547" s="45"/>
      <c r="D547" s="45"/>
      <c r="E547" s="45"/>
      <c r="F547" s="45"/>
    </row>
    <row r="548" spans="3:6" ht="15.75" customHeight="1" x14ac:dyDescent="0.2">
      <c r="C548" s="45"/>
      <c r="D548" s="45"/>
      <c r="E548" s="45"/>
      <c r="F548" s="45"/>
    </row>
    <row r="549" spans="3:6" ht="15.75" customHeight="1" x14ac:dyDescent="0.2">
      <c r="C549" s="45"/>
      <c r="D549" s="45"/>
      <c r="E549" s="45"/>
      <c r="F549" s="45"/>
    </row>
    <row r="550" spans="3:6" ht="15.75" customHeight="1" x14ac:dyDescent="0.2">
      <c r="C550" s="45"/>
      <c r="D550" s="45"/>
      <c r="E550" s="45"/>
      <c r="F550" s="45"/>
    </row>
    <row r="551" spans="3:6" ht="15.75" customHeight="1" x14ac:dyDescent="0.2">
      <c r="C551" s="45"/>
      <c r="D551" s="45"/>
      <c r="E551" s="45"/>
      <c r="F551" s="45"/>
    </row>
    <row r="552" spans="3:6" ht="15.75" customHeight="1" x14ac:dyDescent="0.2">
      <c r="C552" s="45"/>
      <c r="D552" s="45"/>
      <c r="E552" s="45"/>
      <c r="F552" s="45"/>
    </row>
    <row r="553" spans="3:6" ht="15.75" customHeight="1" x14ac:dyDescent="0.2">
      <c r="C553" s="45"/>
      <c r="D553" s="45"/>
      <c r="E553" s="45"/>
      <c r="F553" s="45"/>
    </row>
    <row r="554" spans="3:6" ht="15.75" customHeight="1" x14ac:dyDescent="0.2">
      <c r="C554" s="45"/>
      <c r="D554" s="45"/>
      <c r="E554" s="45"/>
      <c r="F554" s="45"/>
    </row>
    <row r="555" spans="3:6" ht="15.75" customHeight="1" x14ac:dyDescent="0.2">
      <c r="C555" s="45"/>
      <c r="D555" s="45"/>
      <c r="E555" s="45"/>
      <c r="F555" s="45"/>
    </row>
    <row r="556" spans="3:6" ht="15.75" customHeight="1" x14ac:dyDescent="0.2">
      <c r="C556" s="45"/>
      <c r="D556" s="45"/>
      <c r="E556" s="45"/>
      <c r="F556" s="45"/>
    </row>
    <row r="557" spans="3:6" ht="15.75" customHeight="1" x14ac:dyDescent="0.2">
      <c r="C557" s="45"/>
      <c r="D557" s="45"/>
      <c r="E557" s="45"/>
      <c r="F557" s="45"/>
    </row>
    <row r="558" spans="3:6" ht="15.75" customHeight="1" x14ac:dyDescent="0.2">
      <c r="C558" s="45"/>
      <c r="D558" s="45"/>
      <c r="E558" s="45"/>
      <c r="F558" s="45"/>
    </row>
    <row r="559" spans="3:6" ht="15.75" customHeight="1" x14ac:dyDescent="0.2">
      <c r="C559" s="45"/>
      <c r="D559" s="45"/>
      <c r="E559" s="45"/>
      <c r="F559" s="45"/>
    </row>
    <row r="560" spans="3:6" ht="15.75" customHeight="1" x14ac:dyDescent="0.2">
      <c r="C560" s="45"/>
      <c r="D560" s="45"/>
      <c r="E560" s="45"/>
      <c r="F560" s="45"/>
    </row>
    <row r="561" spans="3:6" ht="15.75" customHeight="1" x14ac:dyDescent="0.2">
      <c r="C561" s="45"/>
      <c r="D561" s="45"/>
      <c r="E561" s="45"/>
      <c r="F561" s="45"/>
    </row>
    <row r="562" spans="3:6" ht="15.75" customHeight="1" x14ac:dyDescent="0.2">
      <c r="C562" s="45"/>
      <c r="D562" s="45"/>
      <c r="E562" s="45"/>
      <c r="F562" s="45"/>
    </row>
    <row r="563" spans="3:6" ht="15.75" customHeight="1" x14ac:dyDescent="0.2">
      <c r="C563" s="45"/>
      <c r="D563" s="45"/>
      <c r="E563" s="45"/>
      <c r="F563" s="45"/>
    </row>
    <row r="564" spans="3:6" ht="15.75" customHeight="1" x14ac:dyDescent="0.2">
      <c r="C564" s="45"/>
      <c r="D564" s="45"/>
      <c r="E564" s="45"/>
      <c r="F564" s="45"/>
    </row>
    <row r="565" spans="3:6" ht="15.75" customHeight="1" x14ac:dyDescent="0.2">
      <c r="C565" s="45"/>
      <c r="D565" s="45"/>
      <c r="E565" s="45"/>
      <c r="F565" s="45"/>
    </row>
    <row r="566" spans="3:6" ht="15.75" customHeight="1" x14ac:dyDescent="0.2">
      <c r="C566" s="45"/>
      <c r="D566" s="45"/>
      <c r="E566" s="45"/>
      <c r="F566" s="45"/>
    </row>
    <row r="567" spans="3:6" ht="15.75" customHeight="1" x14ac:dyDescent="0.2">
      <c r="C567" s="45"/>
      <c r="D567" s="45"/>
      <c r="E567" s="45"/>
      <c r="F567" s="45"/>
    </row>
    <row r="568" spans="3:6" ht="15.75" customHeight="1" x14ac:dyDescent="0.2">
      <c r="C568" s="45"/>
      <c r="D568" s="45"/>
      <c r="E568" s="45"/>
      <c r="F568" s="45"/>
    </row>
    <row r="569" spans="3:6" ht="15.75" customHeight="1" x14ac:dyDescent="0.2">
      <c r="C569" s="45"/>
      <c r="D569" s="45"/>
      <c r="E569" s="45"/>
      <c r="F569" s="45"/>
    </row>
    <row r="570" spans="3:6" ht="15.75" customHeight="1" x14ac:dyDescent="0.2">
      <c r="C570" s="45"/>
      <c r="D570" s="45"/>
      <c r="E570" s="45"/>
      <c r="F570" s="45"/>
    </row>
    <row r="571" spans="3:6" ht="15.75" customHeight="1" x14ac:dyDescent="0.2">
      <c r="C571" s="45"/>
      <c r="D571" s="45"/>
      <c r="E571" s="45"/>
      <c r="F571" s="45"/>
    </row>
    <row r="572" spans="3:6" ht="15.75" customHeight="1" x14ac:dyDescent="0.2">
      <c r="C572" s="45"/>
      <c r="D572" s="45"/>
      <c r="E572" s="45"/>
      <c r="F572" s="45"/>
    </row>
    <row r="573" spans="3:6" ht="15.75" customHeight="1" x14ac:dyDescent="0.2">
      <c r="C573" s="45"/>
      <c r="D573" s="45"/>
      <c r="E573" s="45"/>
      <c r="F573" s="45"/>
    </row>
    <row r="574" spans="3:6" ht="15.75" customHeight="1" x14ac:dyDescent="0.2">
      <c r="C574" s="45"/>
      <c r="D574" s="45"/>
      <c r="E574" s="45"/>
      <c r="F574" s="45"/>
    </row>
    <row r="575" spans="3:6" ht="15.75" customHeight="1" x14ac:dyDescent="0.2">
      <c r="C575" s="45"/>
      <c r="D575" s="45"/>
      <c r="E575" s="45"/>
      <c r="F575" s="45"/>
    </row>
    <row r="576" spans="3:6" ht="15.75" customHeight="1" x14ac:dyDescent="0.2">
      <c r="C576" s="45"/>
      <c r="D576" s="45"/>
      <c r="E576" s="45"/>
      <c r="F576" s="45"/>
    </row>
    <row r="577" spans="3:6" ht="15.75" customHeight="1" x14ac:dyDescent="0.2">
      <c r="C577" s="45"/>
      <c r="D577" s="45"/>
      <c r="E577" s="45"/>
      <c r="F577" s="45"/>
    </row>
    <row r="578" spans="3:6" ht="15.75" customHeight="1" x14ac:dyDescent="0.2">
      <c r="C578" s="45"/>
      <c r="D578" s="45"/>
      <c r="E578" s="45"/>
      <c r="F578" s="45"/>
    </row>
    <row r="579" spans="3:6" ht="15.75" customHeight="1" x14ac:dyDescent="0.2">
      <c r="C579" s="45"/>
      <c r="D579" s="45"/>
      <c r="E579" s="45"/>
      <c r="F579" s="45"/>
    </row>
    <row r="580" spans="3:6" ht="15.75" customHeight="1" x14ac:dyDescent="0.2">
      <c r="C580" s="45"/>
      <c r="D580" s="45"/>
      <c r="E580" s="45"/>
      <c r="F580" s="45"/>
    </row>
    <row r="581" spans="3:6" ht="15.75" customHeight="1" x14ac:dyDescent="0.2">
      <c r="C581" s="45"/>
      <c r="D581" s="45"/>
      <c r="E581" s="45"/>
      <c r="F581" s="45"/>
    </row>
    <row r="582" spans="3:6" ht="15.75" customHeight="1" x14ac:dyDescent="0.2">
      <c r="C582" s="45"/>
      <c r="D582" s="45"/>
      <c r="E582" s="45"/>
      <c r="F582" s="45"/>
    </row>
    <row r="583" spans="3:6" ht="15.75" customHeight="1" x14ac:dyDescent="0.2">
      <c r="C583" s="45"/>
      <c r="D583" s="45"/>
      <c r="E583" s="45"/>
      <c r="F583" s="45"/>
    </row>
    <row r="584" spans="3:6" ht="15.75" customHeight="1" x14ac:dyDescent="0.2">
      <c r="C584" s="45"/>
      <c r="D584" s="45"/>
      <c r="E584" s="45"/>
      <c r="F584" s="45"/>
    </row>
    <row r="585" spans="3:6" ht="15.75" customHeight="1" x14ac:dyDescent="0.2">
      <c r="C585" s="45"/>
      <c r="D585" s="45"/>
      <c r="E585" s="45"/>
      <c r="F585" s="45"/>
    </row>
    <row r="586" spans="3:6" ht="15.75" customHeight="1" x14ac:dyDescent="0.2">
      <c r="C586" s="45"/>
      <c r="D586" s="45"/>
      <c r="E586" s="45"/>
      <c r="F586" s="45"/>
    </row>
    <row r="587" spans="3:6" ht="15.75" customHeight="1" x14ac:dyDescent="0.2">
      <c r="C587" s="45"/>
      <c r="D587" s="45"/>
      <c r="E587" s="45"/>
      <c r="F587" s="45"/>
    </row>
    <row r="588" spans="3:6" ht="15.75" customHeight="1" x14ac:dyDescent="0.2">
      <c r="C588" s="45"/>
      <c r="D588" s="45"/>
      <c r="E588" s="45"/>
      <c r="F588" s="45"/>
    </row>
    <row r="589" spans="3:6" ht="15.75" customHeight="1" x14ac:dyDescent="0.2">
      <c r="C589" s="45"/>
      <c r="D589" s="45"/>
      <c r="E589" s="45"/>
      <c r="F589" s="45"/>
    </row>
    <row r="590" spans="3:6" ht="15.75" customHeight="1" x14ac:dyDescent="0.2">
      <c r="C590" s="45"/>
      <c r="D590" s="45"/>
      <c r="E590" s="45"/>
      <c r="F590" s="45"/>
    </row>
    <row r="591" spans="3:6" ht="15.75" customHeight="1" x14ac:dyDescent="0.2">
      <c r="C591" s="45"/>
      <c r="D591" s="45"/>
      <c r="E591" s="45"/>
      <c r="F591" s="45"/>
    </row>
    <row r="592" spans="3:6" ht="15.75" customHeight="1" x14ac:dyDescent="0.2">
      <c r="C592" s="45"/>
      <c r="D592" s="45"/>
      <c r="E592" s="45"/>
      <c r="F592" s="45"/>
    </row>
    <row r="593" spans="3:6" ht="15.75" customHeight="1" x14ac:dyDescent="0.2">
      <c r="C593" s="45"/>
      <c r="D593" s="45"/>
      <c r="E593" s="45"/>
      <c r="F593" s="45"/>
    </row>
    <row r="594" spans="3:6" ht="15.75" customHeight="1" x14ac:dyDescent="0.2">
      <c r="C594" s="45"/>
      <c r="D594" s="45"/>
      <c r="E594" s="45"/>
      <c r="F594" s="45"/>
    </row>
    <row r="595" spans="3:6" ht="15.75" customHeight="1" x14ac:dyDescent="0.2">
      <c r="C595" s="45"/>
      <c r="D595" s="45"/>
      <c r="E595" s="45"/>
      <c r="F595" s="45"/>
    </row>
    <row r="596" spans="3:6" ht="15.75" customHeight="1" x14ac:dyDescent="0.2">
      <c r="C596" s="45"/>
      <c r="D596" s="45"/>
      <c r="E596" s="45"/>
      <c r="F596" s="45"/>
    </row>
    <row r="597" spans="3:6" ht="15.75" customHeight="1" x14ac:dyDescent="0.2">
      <c r="C597" s="45"/>
      <c r="D597" s="45"/>
      <c r="E597" s="45"/>
      <c r="F597" s="45"/>
    </row>
    <row r="598" spans="3:6" ht="15.75" customHeight="1" x14ac:dyDescent="0.2">
      <c r="C598" s="45"/>
      <c r="D598" s="45"/>
      <c r="E598" s="45"/>
      <c r="F598" s="45"/>
    </row>
    <row r="599" spans="3:6" ht="15.75" customHeight="1" x14ac:dyDescent="0.2">
      <c r="C599" s="45"/>
      <c r="D599" s="45"/>
      <c r="E599" s="45"/>
      <c r="F599" s="45"/>
    </row>
    <row r="600" spans="3:6" ht="15.75" customHeight="1" x14ac:dyDescent="0.2">
      <c r="C600" s="45"/>
      <c r="D600" s="45"/>
      <c r="E600" s="45"/>
      <c r="F600" s="45"/>
    </row>
    <row r="601" spans="3:6" ht="15.75" customHeight="1" x14ac:dyDescent="0.2">
      <c r="C601" s="45"/>
      <c r="D601" s="45"/>
      <c r="E601" s="45"/>
      <c r="F601" s="45"/>
    </row>
    <row r="602" spans="3:6" ht="15.75" customHeight="1" x14ac:dyDescent="0.2">
      <c r="C602" s="45"/>
      <c r="D602" s="45"/>
      <c r="E602" s="45"/>
      <c r="F602" s="45"/>
    </row>
    <row r="603" spans="3:6" ht="15.75" customHeight="1" x14ac:dyDescent="0.2">
      <c r="C603" s="45"/>
      <c r="D603" s="45"/>
      <c r="E603" s="45"/>
      <c r="F603" s="45"/>
    </row>
    <row r="604" spans="3:6" ht="15.75" customHeight="1" x14ac:dyDescent="0.2">
      <c r="C604" s="45"/>
      <c r="D604" s="45"/>
      <c r="E604" s="45"/>
      <c r="F604" s="45"/>
    </row>
    <row r="605" spans="3:6" ht="15.75" customHeight="1" x14ac:dyDescent="0.2">
      <c r="C605" s="45"/>
      <c r="D605" s="45"/>
      <c r="E605" s="45"/>
      <c r="F605" s="45"/>
    </row>
    <row r="606" spans="3:6" ht="15.75" customHeight="1" x14ac:dyDescent="0.2">
      <c r="C606" s="45"/>
      <c r="D606" s="45"/>
      <c r="E606" s="45"/>
      <c r="F606" s="45"/>
    </row>
    <row r="607" spans="3:6" ht="15.75" customHeight="1" x14ac:dyDescent="0.2">
      <c r="C607" s="45"/>
      <c r="D607" s="45"/>
      <c r="E607" s="45"/>
      <c r="F607" s="45"/>
    </row>
    <row r="608" spans="3:6" ht="15.75" customHeight="1" x14ac:dyDescent="0.2">
      <c r="C608" s="45"/>
      <c r="D608" s="45"/>
      <c r="E608" s="45"/>
      <c r="F608" s="45"/>
    </row>
    <row r="609" spans="3:6" ht="15.75" customHeight="1" x14ac:dyDescent="0.2">
      <c r="C609" s="45"/>
      <c r="D609" s="45"/>
      <c r="E609" s="45"/>
      <c r="F609" s="45"/>
    </row>
    <row r="610" spans="3:6" ht="15.75" customHeight="1" x14ac:dyDescent="0.2">
      <c r="C610" s="45"/>
      <c r="D610" s="45"/>
      <c r="E610" s="45"/>
      <c r="F610" s="45"/>
    </row>
    <row r="611" spans="3:6" ht="15.75" customHeight="1" x14ac:dyDescent="0.2">
      <c r="C611" s="45"/>
      <c r="D611" s="45"/>
      <c r="E611" s="45"/>
      <c r="F611" s="45"/>
    </row>
    <row r="612" spans="3:6" ht="15.75" customHeight="1" x14ac:dyDescent="0.2">
      <c r="C612" s="45"/>
      <c r="D612" s="45"/>
      <c r="E612" s="45"/>
      <c r="F612" s="45"/>
    </row>
    <row r="613" spans="3:6" ht="15.75" customHeight="1" x14ac:dyDescent="0.2">
      <c r="C613" s="45"/>
      <c r="D613" s="45"/>
      <c r="E613" s="45"/>
      <c r="F613" s="45"/>
    </row>
    <row r="614" spans="3:6" ht="15.75" customHeight="1" x14ac:dyDescent="0.2">
      <c r="C614" s="45"/>
      <c r="D614" s="45"/>
      <c r="E614" s="45"/>
      <c r="F614" s="45"/>
    </row>
    <row r="615" spans="3:6" ht="15.75" customHeight="1" x14ac:dyDescent="0.2">
      <c r="C615" s="45"/>
      <c r="D615" s="45"/>
      <c r="E615" s="45"/>
      <c r="F615" s="45"/>
    </row>
    <row r="616" spans="3:6" ht="15.75" customHeight="1" x14ac:dyDescent="0.2">
      <c r="C616" s="45"/>
      <c r="D616" s="45"/>
      <c r="E616" s="45"/>
      <c r="F616" s="45"/>
    </row>
    <row r="617" spans="3:6" ht="15.75" customHeight="1" x14ac:dyDescent="0.2">
      <c r="C617" s="45"/>
      <c r="D617" s="45"/>
      <c r="E617" s="45"/>
      <c r="F617" s="45"/>
    </row>
    <row r="618" spans="3:6" ht="15.75" customHeight="1" x14ac:dyDescent="0.2">
      <c r="C618" s="45"/>
      <c r="D618" s="45"/>
      <c r="E618" s="45"/>
      <c r="F618" s="45"/>
    </row>
    <row r="619" spans="3:6" ht="15.75" customHeight="1" x14ac:dyDescent="0.2">
      <c r="C619" s="45"/>
      <c r="D619" s="45"/>
      <c r="E619" s="45"/>
      <c r="F619" s="45"/>
    </row>
    <row r="620" spans="3:6" ht="15.75" customHeight="1" x14ac:dyDescent="0.2">
      <c r="C620" s="45"/>
      <c r="D620" s="45"/>
      <c r="E620" s="45"/>
      <c r="F620" s="45"/>
    </row>
    <row r="621" spans="3:6" ht="15.75" customHeight="1" x14ac:dyDescent="0.2">
      <c r="C621" s="45"/>
      <c r="D621" s="45"/>
      <c r="E621" s="45"/>
      <c r="F621" s="45"/>
    </row>
    <row r="622" spans="3:6" ht="15.75" customHeight="1" x14ac:dyDescent="0.2">
      <c r="C622" s="45"/>
      <c r="D622" s="45"/>
      <c r="E622" s="45"/>
      <c r="F622" s="45"/>
    </row>
    <row r="623" spans="3:6" ht="15.75" customHeight="1" x14ac:dyDescent="0.2">
      <c r="C623" s="45"/>
      <c r="D623" s="45"/>
      <c r="E623" s="45"/>
      <c r="F623" s="45"/>
    </row>
    <row r="624" spans="3:6" ht="15.75" customHeight="1" x14ac:dyDescent="0.2">
      <c r="C624" s="45"/>
      <c r="D624" s="45"/>
      <c r="E624" s="45"/>
      <c r="F624" s="45"/>
    </row>
    <row r="625" spans="3:6" ht="15.75" customHeight="1" x14ac:dyDescent="0.2">
      <c r="C625" s="45"/>
      <c r="D625" s="45"/>
      <c r="E625" s="45"/>
      <c r="F625" s="45"/>
    </row>
    <row r="626" spans="3:6" ht="15.75" customHeight="1" x14ac:dyDescent="0.2">
      <c r="C626" s="45"/>
      <c r="D626" s="45"/>
      <c r="E626" s="45"/>
      <c r="F626" s="45"/>
    </row>
    <row r="627" spans="3:6" ht="15.75" customHeight="1" x14ac:dyDescent="0.2">
      <c r="C627" s="45"/>
      <c r="D627" s="45"/>
      <c r="E627" s="45"/>
      <c r="F627" s="45"/>
    </row>
    <row r="628" spans="3:6" ht="15.75" customHeight="1" x14ac:dyDescent="0.2">
      <c r="C628" s="45"/>
      <c r="D628" s="45"/>
      <c r="E628" s="45"/>
      <c r="F628" s="45"/>
    </row>
    <row r="629" spans="3:6" ht="15.75" customHeight="1" x14ac:dyDescent="0.2">
      <c r="C629" s="45"/>
      <c r="D629" s="45"/>
      <c r="E629" s="45"/>
      <c r="F629" s="45"/>
    </row>
    <row r="630" spans="3:6" ht="15.75" customHeight="1" x14ac:dyDescent="0.2">
      <c r="C630" s="45"/>
      <c r="D630" s="45"/>
      <c r="E630" s="45"/>
      <c r="F630" s="45"/>
    </row>
    <row r="631" spans="3:6" ht="15.75" customHeight="1" x14ac:dyDescent="0.2">
      <c r="C631" s="45"/>
      <c r="D631" s="45"/>
      <c r="E631" s="45"/>
      <c r="F631" s="45"/>
    </row>
    <row r="632" spans="3:6" ht="15.75" customHeight="1" x14ac:dyDescent="0.2">
      <c r="C632" s="45"/>
      <c r="D632" s="45"/>
      <c r="E632" s="45"/>
      <c r="F632" s="45"/>
    </row>
    <row r="633" spans="3:6" ht="15.75" customHeight="1" x14ac:dyDescent="0.2">
      <c r="C633" s="45"/>
      <c r="D633" s="45"/>
      <c r="E633" s="45"/>
      <c r="F633" s="45"/>
    </row>
    <row r="634" spans="3:6" ht="15.75" customHeight="1" x14ac:dyDescent="0.2">
      <c r="C634" s="45"/>
      <c r="D634" s="45"/>
      <c r="E634" s="45"/>
      <c r="F634" s="45"/>
    </row>
    <row r="635" spans="3:6" ht="15.75" customHeight="1" x14ac:dyDescent="0.2">
      <c r="C635" s="45"/>
      <c r="D635" s="45"/>
      <c r="E635" s="45"/>
      <c r="F635" s="45"/>
    </row>
    <row r="636" spans="3:6" ht="15.75" customHeight="1" x14ac:dyDescent="0.2">
      <c r="C636" s="45"/>
      <c r="D636" s="45"/>
      <c r="E636" s="45"/>
      <c r="F636" s="45"/>
    </row>
    <row r="637" spans="3:6" ht="15.75" customHeight="1" x14ac:dyDescent="0.2">
      <c r="C637" s="45"/>
      <c r="D637" s="45"/>
      <c r="E637" s="45"/>
      <c r="F637" s="45"/>
    </row>
    <row r="638" spans="3:6" ht="15.75" customHeight="1" x14ac:dyDescent="0.2">
      <c r="C638" s="45"/>
      <c r="D638" s="45"/>
      <c r="E638" s="45"/>
      <c r="F638" s="45"/>
    </row>
    <row r="639" spans="3:6" ht="15.75" customHeight="1" x14ac:dyDescent="0.2">
      <c r="C639" s="45"/>
      <c r="D639" s="45"/>
      <c r="E639" s="45"/>
      <c r="F639" s="45"/>
    </row>
    <row r="640" spans="3:6" ht="15.75" customHeight="1" x14ac:dyDescent="0.2">
      <c r="C640" s="45"/>
      <c r="D640" s="45"/>
      <c r="E640" s="45"/>
      <c r="F640" s="45"/>
    </row>
    <row r="641" spans="3:6" ht="15.75" customHeight="1" x14ac:dyDescent="0.2">
      <c r="C641" s="45"/>
      <c r="D641" s="45"/>
      <c r="E641" s="45"/>
      <c r="F641" s="45"/>
    </row>
    <row r="642" spans="3:6" ht="15.75" customHeight="1" x14ac:dyDescent="0.2">
      <c r="C642" s="45"/>
      <c r="D642" s="45"/>
      <c r="E642" s="45"/>
      <c r="F642" s="45"/>
    </row>
    <row r="643" spans="3:6" ht="15.75" customHeight="1" x14ac:dyDescent="0.2">
      <c r="C643" s="45"/>
      <c r="D643" s="45"/>
      <c r="E643" s="45"/>
      <c r="F643" s="45"/>
    </row>
    <row r="644" spans="3:6" ht="15.75" customHeight="1" x14ac:dyDescent="0.2">
      <c r="C644" s="45"/>
      <c r="D644" s="45"/>
      <c r="E644" s="45"/>
      <c r="F644" s="45"/>
    </row>
    <row r="645" spans="3:6" ht="15.75" customHeight="1" x14ac:dyDescent="0.2">
      <c r="C645" s="45"/>
      <c r="D645" s="45"/>
      <c r="E645" s="45"/>
      <c r="F645" s="45"/>
    </row>
    <row r="646" spans="3:6" ht="15.75" customHeight="1" x14ac:dyDescent="0.2">
      <c r="C646" s="45"/>
      <c r="D646" s="45"/>
      <c r="E646" s="45"/>
      <c r="F646" s="45"/>
    </row>
    <row r="647" spans="3:6" ht="15.75" customHeight="1" x14ac:dyDescent="0.2">
      <c r="C647" s="45"/>
      <c r="D647" s="45"/>
      <c r="E647" s="45"/>
      <c r="F647" s="45"/>
    </row>
    <row r="648" spans="3:6" ht="15.75" customHeight="1" x14ac:dyDescent="0.2">
      <c r="C648" s="45"/>
      <c r="D648" s="45"/>
      <c r="E648" s="45"/>
      <c r="F648" s="45"/>
    </row>
    <row r="649" spans="3:6" ht="15.75" customHeight="1" x14ac:dyDescent="0.2">
      <c r="C649" s="45"/>
      <c r="D649" s="45"/>
      <c r="E649" s="45"/>
      <c r="F649" s="45"/>
    </row>
    <row r="650" spans="3:6" ht="15.75" customHeight="1" x14ac:dyDescent="0.2">
      <c r="C650" s="45"/>
      <c r="D650" s="45"/>
      <c r="E650" s="45"/>
      <c r="F650" s="45"/>
    </row>
    <row r="651" spans="3:6" ht="15.75" customHeight="1" x14ac:dyDescent="0.2">
      <c r="C651" s="45"/>
      <c r="D651" s="45"/>
      <c r="E651" s="45"/>
      <c r="F651" s="45"/>
    </row>
    <row r="652" spans="3:6" ht="15.75" customHeight="1" x14ac:dyDescent="0.2">
      <c r="C652" s="45"/>
      <c r="D652" s="45"/>
      <c r="E652" s="45"/>
      <c r="F652" s="45"/>
    </row>
    <row r="653" spans="3:6" ht="15.75" customHeight="1" x14ac:dyDescent="0.2">
      <c r="C653" s="45"/>
      <c r="D653" s="45"/>
      <c r="E653" s="45"/>
      <c r="F653" s="45"/>
    </row>
    <row r="654" spans="3:6" ht="15.75" customHeight="1" x14ac:dyDescent="0.2">
      <c r="C654" s="45"/>
      <c r="D654" s="45"/>
      <c r="E654" s="45"/>
      <c r="F654" s="45"/>
    </row>
    <row r="655" spans="3:6" ht="15.75" customHeight="1" x14ac:dyDescent="0.2">
      <c r="C655" s="45"/>
      <c r="D655" s="45"/>
      <c r="E655" s="45"/>
      <c r="F655" s="45"/>
    </row>
    <row r="656" spans="3:6" ht="15.75" customHeight="1" x14ac:dyDescent="0.2">
      <c r="C656" s="45"/>
      <c r="D656" s="45"/>
      <c r="E656" s="45"/>
      <c r="F656" s="45"/>
    </row>
    <row r="657" spans="3:6" ht="15.75" customHeight="1" x14ac:dyDescent="0.2">
      <c r="C657" s="45"/>
      <c r="D657" s="45"/>
      <c r="E657" s="45"/>
      <c r="F657" s="45"/>
    </row>
    <row r="658" spans="3:6" ht="15.75" customHeight="1" x14ac:dyDescent="0.2">
      <c r="C658" s="45"/>
      <c r="D658" s="45"/>
      <c r="E658" s="45"/>
      <c r="F658" s="45"/>
    </row>
    <row r="659" spans="3:6" ht="15.75" customHeight="1" x14ac:dyDescent="0.2">
      <c r="C659" s="45"/>
      <c r="D659" s="45"/>
      <c r="E659" s="45"/>
      <c r="F659" s="45"/>
    </row>
    <row r="660" spans="3:6" ht="15.75" customHeight="1" x14ac:dyDescent="0.2">
      <c r="C660" s="45"/>
      <c r="D660" s="45"/>
      <c r="E660" s="45"/>
      <c r="F660" s="45"/>
    </row>
    <row r="661" spans="3:6" ht="15.75" customHeight="1" x14ac:dyDescent="0.2">
      <c r="C661" s="45"/>
      <c r="D661" s="45"/>
      <c r="E661" s="45"/>
      <c r="F661" s="45"/>
    </row>
    <row r="662" spans="3:6" ht="15.75" customHeight="1" x14ac:dyDescent="0.2">
      <c r="C662" s="45"/>
      <c r="D662" s="45"/>
      <c r="E662" s="45"/>
      <c r="F662" s="45"/>
    </row>
    <row r="663" spans="3:6" ht="15.75" customHeight="1" x14ac:dyDescent="0.2">
      <c r="C663" s="45"/>
      <c r="D663" s="45"/>
      <c r="E663" s="45"/>
      <c r="F663" s="45"/>
    </row>
    <row r="664" spans="3:6" ht="15.75" customHeight="1" x14ac:dyDescent="0.2">
      <c r="C664" s="45"/>
      <c r="D664" s="45"/>
      <c r="E664" s="45"/>
      <c r="F664" s="45"/>
    </row>
    <row r="665" spans="3:6" ht="15.75" customHeight="1" x14ac:dyDescent="0.2">
      <c r="C665" s="45"/>
      <c r="D665" s="45"/>
      <c r="E665" s="45"/>
      <c r="F665" s="45"/>
    </row>
    <row r="666" spans="3:6" ht="15.75" customHeight="1" x14ac:dyDescent="0.2">
      <c r="C666" s="45"/>
      <c r="D666" s="45"/>
      <c r="E666" s="45"/>
      <c r="F666" s="45"/>
    </row>
    <row r="667" spans="3:6" ht="15.75" customHeight="1" x14ac:dyDescent="0.2">
      <c r="C667" s="45"/>
      <c r="D667" s="45"/>
      <c r="E667" s="45"/>
      <c r="F667" s="45"/>
    </row>
    <row r="668" spans="3:6" ht="15.75" customHeight="1" x14ac:dyDescent="0.2">
      <c r="C668" s="45"/>
      <c r="D668" s="45"/>
      <c r="E668" s="45"/>
      <c r="F668" s="45"/>
    </row>
    <row r="669" spans="3:6" ht="15.75" customHeight="1" x14ac:dyDescent="0.2">
      <c r="C669" s="45"/>
      <c r="D669" s="45"/>
      <c r="E669" s="45"/>
      <c r="F669" s="45"/>
    </row>
    <row r="670" spans="3:6" ht="15.75" customHeight="1" x14ac:dyDescent="0.2">
      <c r="C670" s="45"/>
      <c r="D670" s="45"/>
      <c r="E670" s="45"/>
      <c r="F670" s="45"/>
    </row>
    <row r="671" spans="3:6" ht="15.75" customHeight="1" x14ac:dyDescent="0.2">
      <c r="C671" s="45"/>
      <c r="D671" s="45"/>
      <c r="E671" s="45"/>
      <c r="F671" s="45"/>
    </row>
    <row r="672" spans="3:6" ht="15.75" customHeight="1" x14ac:dyDescent="0.2">
      <c r="C672" s="45"/>
      <c r="D672" s="45"/>
      <c r="E672" s="45"/>
      <c r="F672" s="45"/>
    </row>
    <row r="673" spans="3:6" ht="15.75" customHeight="1" x14ac:dyDescent="0.2">
      <c r="C673" s="45"/>
      <c r="D673" s="45"/>
      <c r="E673" s="45"/>
      <c r="F673" s="45"/>
    </row>
    <row r="674" spans="3:6" ht="15.75" customHeight="1" x14ac:dyDescent="0.2">
      <c r="C674" s="45"/>
      <c r="D674" s="45"/>
      <c r="E674" s="45"/>
      <c r="F674" s="45"/>
    </row>
    <row r="675" spans="3:6" ht="15.75" customHeight="1" x14ac:dyDescent="0.2">
      <c r="C675" s="45"/>
      <c r="D675" s="45"/>
      <c r="E675" s="45"/>
      <c r="F675" s="45"/>
    </row>
    <row r="676" spans="3:6" ht="15.75" customHeight="1" x14ac:dyDescent="0.2">
      <c r="C676" s="45"/>
      <c r="D676" s="45"/>
      <c r="E676" s="45"/>
      <c r="F676" s="45"/>
    </row>
    <row r="677" spans="3:6" ht="15.75" customHeight="1" x14ac:dyDescent="0.2">
      <c r="C677" s="45"/>
      <c r="D677" s="45"/>
      <c r="E677" s="45"/>
      <c r="F677" s="45"/>
    </row>
    <row r="678" spans="3:6" ht="15.75" customHeight="1" x14ac:dyDescent="0.2">
      <c r="C678" s="45"/>
      <c r="D678" s="45"/>
      <c r="E678" s="45"/>
      <c r="F678" s="45"/>
    </row>
    <row r="679" spans="3:6" ht="15.75" customHeight="1" x14ac:dyDescent="0.2">
      <c r="C679" s="45"/>
      <c r="D679" s="45"/>
      <c r="E679" s="45"/>
      <c r="F679" s="45"/>
    </row>
    <row r="680" spans="3:6" ht="15.75" customHeight="1" x14ac:dyDescent="0.2">
      <c r="C680" s="45"/>
      <c r="D680" s="45"/>
      <c r="E680" s="45"/>
      <c r="F680" s="45"/>
    </row>
    <row r="681" spans="3:6" ht="15.75" customHeight="1" x14ac:dyDescent="0.2">
      <c r="C681" s="45"/>
      <c r="D681" s="45"/>
      <c r="E681" s="45"/>
      <c r="F681" s="45"/>
    </row>
    <row r="682" spans="3:6" ht="15.75" customHeight="1" x14ac:dyDescent="0.2">
      <c r="C682" s="45"/>
      <c r="D682" s="45"/>
      <c r="E682" s="45"/>
      <c r="F682" s="45"/>
    </row>
    <row r="683" spans="3:6" ht="15.75" customHeight="1" x14ac:dyDescent="0.2">
      <c r="C683" s="45"/>
      <c r="D683" s="45"/>
      <c r="E683" s="45"/>
      <c r="F683" s="45"/>
    </row>
    <row r="684" spans="3:6" ht="15.75" customHeight="1" x14ac:dyDescent="0.2">
      <c r="C684" s="45"/>
      <c r="D684" s="45"/>
      <c r="E684" s="45"/>
      <c r="F684" s="45"/>
    </row>
    <row r="685" spans="3:6" ht="15.75" customHeight="1" x14ac:dyDescent="0.2">
      <c r="C685" s="45"/>
      <c r="D685" s="45"/>
      <c r="E685" s="45"/>
      <c r="F685" s="45"/>
    </row>
    <row r="686" spans="3:6" ht="15.75" customHeight="1" x14ac:dyDescent="0.2">
      <c r="C686" s="45"/>
      <c r="D686" s="45"/>
      <c r="E686" s="45"/>
      <c r="F686" s="45"/>
    </row>
    <row r="687" spans="3:6" ht="15.75" customHeight="1" x14ac:dyDescent="0.2">
      <c r="C687" s="45"/>
      <c r="D687" s="45"/>
      <c r="E687" s="45"/>
      <c r="F687" s="45"/>
    </row>
    <row r="688" spans="3:6" ht="15.75" customHeight="1" x14ac:dyDescent="0.2">
      <c r="C688" s="45"/>
      <c r="D688" s="45"/>
      <c r="E688" s="45"/>
      <c r="F688" s="45"/>
    </row>
    <row r="689" spans="3:6" ht="15.75" customHeight="1" x14ac:dyDescent="0.2">
      <c r="C689" s="45"/>
      <c r="D689" s="45"/>
      <c r="E689" s="45"/>
      <c r="F689" s="45"/>
    </row>
    <row r="690" spans="3:6" ht="15.75" customHeight="1" x14ac:dyDescent="0.2">
      <c r="C690" s="45"/>
      <c r="D690" s="45"/>
      <c r="E690" s="45"/>
      <c r="F690" s="45"/>
    </row>
    <row r="691" spans="3:6" ht="15.75" customHeight="1" x14ac:dyDescent="0.2">
      <c r="C691" s="45"/>
      <c r="D691" s="45"/>
      <c r="E691" s="45"/>
      <c r="F691" s="45"/>
    </row>
    <row r="692" spans="3:6" ht="15.75" customHeight="1" x14ac:dyDescent="0.2">
      <c r="C692" s="45"/>
      <c r="D692" s="45"/>
      <c r="E692" s="45"/>
      <c r="F692" s="45"/>
    </row>
    <row r="693" spans="3:6" ht="15.75" customHeight="1" x14ac:dyDescent="0.2">
      <c r="C693" s="45"/>
      <c r="D693" s="45"/>
      <c r="E693" s="45"/>
      <c r="F693" s="45"/>
    </row>
    <row r="694" spans="3:6" ht="15.75" customHeight="1" x14ac:dyDescent="0.2">
      <c r="C694" s="45"/>
      <c r="D694" s="45"/>
      <c r="E694" s="45"/>
      <c r="F694" s="45"/>
    </row>
    <row r="695" spans="3:6" ht="15.75" customHeight="1" x14ac:dyDescent="0.2">
      <c r="C695" s="45"/>
      <c r="D695" s="45"/>
      <c r="E695" s="45"/>
      <c r="F695" s="45"/>
    </row>
    <row r="696" spans="3:6" ht="15.75" customHeight="1" x14ac:dyDescent="0.2">
      <c r="C696" s="45"/>
      <c r="D696" s="45"/>
      <c r="E696" s="45"/>
      <c r="F696" s="45"/>
    </row>
    <row r="697" spans="3:6" ht="15.75" customHeight="1" x14ac:dyDescent="0.2">
      <c r="C697" s="45"/>
      <c r="D697" s="45"/>
      <c r="E697" s="45"/>
      <c r="F697" s="45"/>
    </row>
    <row r="698" spans="3:6" ht="15.75" customHeight="1" x14ac:dyDescent="0.2">
      <c r="C698" s="45"/>
      <c r="D698" s="45"/>
      <c r="E698" s="45"/>
      <c r="F698" s="45"/>
    </row>
    <row r="699" spans="3:6" ht="15.75" customHeight="1" x14ac:dyDescent="0.2">
      <c r="C699" s="45"/>
      <c r="D699" s="45"/>
      <c r="E699" s="45"/>
      <c r="F699" s="45"/>
    </row>
    <row r="700" spans="3:6" ht="15.75" customHeight="1" x14ac:dyDescent="0.2">
      <c r="C700" s="45"/>
      <c r="D700" s="45"/>
      <c r="E700" s="45"/>
      <c r="F700" s="45"/>
    </row>
    <row r="701" spans="3:6" ht="15.75" customHeight="1" x14ac:dyDescent="0.2">
      <c r="C701" s="45"/>
      <c r="D701" s="45"/>
      <c r="E701" s="45"/>
      <c r="F701" s="45"/>
    </row>
    <row r="702" spans="3:6" ht="15.75" customHeight="1" x14ac:dyDescent="0.2">
      <c r="C702" s="45"/>
      <c r="D702" s="45"/>
      <c r="E702" s="45"/>
      <c r="F702" s="45"/>
    </row>
    <row r="703" spans="3:6" ht="15.75" customHeight="1" x14ac:dyDescent="0.2">
      <c r="C703" s="45"/>
      <c r="D703" s="45"/>
      <c r="E703" s="45"/>
      <c r="F703" s="45"/>
    </row>
    <row r="704" spans="3:6" ht="15.75" customHeight="1" x14ac:dyDescent="0.2">
      <c r="C704" s="45"/>
      <c r="D704" s="45"/>
      <c r="E704" s="45"/>
      <c r="F704" s="45"/>
    </row>
    <row r="705" spans="3:6" ht="15.75" customHeight="1" x14ac:dyDescent="0.2">
      <c r="C705" s="45"/>
      <c r="D705" s="45"/>
      <c r="E705" s="45"/>
      <c r="F705" s="45"/>
    </row>
    <row r="706" spans="3:6" ht="15.75" customHeight="1" x14ac:dyDescent="0.2">
      <c r="C706" s="45"/>
      <c r="D706" s="45"/>
      <c r="E706" s="45"/>
      <c r="F706" s="45"/>
    </row>
    <row r="707" spans="3:6" ht="15.75" customHeight="1" x14ac:dyDescent="0.2">
      <c r="C707" s="45"/>
      <c r="D707" s="45"/>
      <c r="E707" s="45"/>
      <c r="F707" s="45"/>
    </row>
    <row r="708" spans="3:6" ht="15.75" customHeight="1" x14ac:dyDescent="0.2">
      <c r="C708" s="45"/>
      <c r="D708" s="45"/>
      <c r="E708" s="45"/>
      <c r="F708" s="45"/>
    </row>
    <row r="709" spans="3:6" ht="15.75" customHeight="1" x14ac:dyDescent="0.2">
      <c r="C709" s="45"/>
      <c r="D709" s="45"/>
      <c r="E709" s="45"/>
      <c r="F709" s="45"/>
    </row>
    <row r="710" spans="3:6" ht="15.75" customHeight="1" x14ac:dyDescent="0.2">
      <c r="C710" s="45"/>
      <c r="D710" s="45"/>
      <c r="E710" s="45"/>
      <c r="F710" s="45"/>
    </row>
    <row r="711" spans="3:6" ht="15.75" customHeight="1" x14ac:dyDescent="0.2">
      <c r="C711" s="45"/>
      <c r="D711" s="45"/>
      <c r="E711" s="45"/>
      <c r="F711" s="45"/>
    </row>
    <row r="712" spans="3:6" ht="15.75" customHeight="1" x14ac:dyDescent="0.2">
      <c r="C712" s="45"/>
      <c r="D712" s="45"/>
      <c r="E712" s="45"/>
      <c r="F712" s="45"/>
    </row>
    <row r="713" spans="3:6" ht="15.75" customHeight="1" x14ac:dyDescent="0.2">
      <c r="C713" s="45"/>
      <c r="D713" s="45"/>
      <c r="E713" s="45"/>
      <c r="F713" s="45"/>
    </row>
    <row r="714" spans="3:6" ht="15.75" customHeight="1" x14ac:dyDescent="0.2">
      <c r="C714" s="45"/>
      <c r="D714" s="45"/>
      <c r="E714" s="45"/>
      <c r="F714" s="45"/>
    </row>
    <row r="715" spans="3:6" ht="15.75" customHeight="1" x14ac:dyDescent="0.2">
      <c r="C715" s="45"/>
      <c r="D715" s="45"/>
      <c r="E715" s="45"/>
      <c r="F715" s="45"/>
    </row>
    <row r="716" spans="3:6" ht="15.75" customHeight="1" x14ac:dyDescent="0.2">
      <c r="C716" s="45"/>
      <c r="D716" s="45"/>
      <c r="E716" s="45"/>
      <c r="F716" s="45"/>
    </row>
    <row r="717" spans="3:6" ht="15.75" customHeight="1" x14ac:dyDescent="0.2">
      <c r="C717" s="45"/>
      <c r="D717" s="45"/>
      <c r="E717" s="45"/>
      <c r="F717" s="45"/>
    </row>
    <row r="718" spans="3:6" ht="15.75" customHeight="1" x14ac:dyDescent="0.2">
      <c r="C718" s="45"/>
      <c r="D718" s="45"/>
      <c r="E718" s="45"/>
      <c r="F718" s="45"/>
    </row>
    <row r="719" spans="3:6" ht="15.75" customHeight="1" x14ac:dyDescent="0.2">
      <c r="C719" s="45"/>
      <c r="D719" s="45"/>
      <c r="E719" s="45"/>
      <c r="F719" s="45"/>
    </row>
    <row r="720" spans="3:6" ht="15.75" customHeight="1" x14ac:dyDescent="0.2">
      <c r="C720" s="45"/>
      <c r="D720" s="45"/>
      <c r="E720" s="45"/>
      <c r="F720" s="45"/>
    </row>
    <row r="721" spans="3:6" ht="15.75" customHeight="1" x14ac:dyDescent="0.2">
      <c r="C721" s="45"/>
      <c r="D721" s="45"/>
      <c r="E721" s="45"/>
      <c r="F721" s="45"/>
    </row>
    <row r="722" spans="3:6" ht="15.75" customHeight="1" x14ac:dyDescent="0.2">
      <c r="C722" s="45"/>
      <c r="D722" s="45"/>
      <c r="E722" s="45"/>
      <c r="F722" s="45"/>
    </row>
    <row r="723" spans="3:6" ht="15.75" customHeight="1" x14ac:dyDescent="0.2">
      <c r="C723" s="45"/>
      <c r="D723" s="45"/>
      <c r="E723" s="45"/>
      <c r="F723" s="45"/>
    </row>
    <row r="724" spans="3:6" ht="15.75" customHeight="1" x14ac:dyDescent="0.2">
      <c r="C724" s="45"/>
      <c r="D724" s="45"/>
      <c r="E724" s="45"/>
      <c r="F724" s="45"/>
    </row>
    <row r="725" spans="3:6" ht="15.75" customHeight="1" x14ac:dyDescent="0.2">
      <c r="C725" s="45"/>
      <c r="D725" s="45"/>
      <c r="E725" s="45"/>
      <c r="F725" s="45"/>
    </row>
    <row r="726" spans="3:6" ht="15.75" customHeight="1" x14ac:dyDescent="0.2">
      <c r="C726" s="45"/>
      <c r="D726" s="45"/>
      <c r="E726" s="45"/>
      <c r="F726" s="45"/>
    </row>
    <row r="727" spans="3:6" ht="15.75" customHeight="1" x14ac:dyDescent="0.2">
      <c r="C727" s="45"/>
      <c r="D727" s="45"/>
      <c r="E727" s="45"/>
      <c r="F727" s="45"/>
    </row>
    <row r="728" spans="3:6" ht="15.75" customHeight="1" x14ac:dyDescent="0.2">
      <c r="C728" s="45"/>
      <c r="D728" s="45"/>
      <c r="E728" s="45"/>
      <c r="F728" s="45"/>
    </row>
    <row r="729" spans="3:6" ht="15.75" customHeight="1" x14ac:dyDescent="0.2">
      <c r="C729" s="45"/>
      <c r="D729" s="45"/>
      <c r="E729" s="45"/>
      <c r="F729" s="45"/>
    </row>
    <row r="730" spans="3:6" ht="15.75" customHeight="1" x14ac:dyDescent="0.2">
      <c r="C730" s="45"/>
      <c r="D730" s="45"/>
      <c r="E730" s="45"/>
      <c r="F730" s="45"/>
    </row>
    <row r="731" spans="3:6" ht="15.75" customHeight="1" x14ac:dyDescent="0.2">
      <c r="C731" s="45"/>
      <c r="D731" s="45"/>
      <c r="E731" s="45"/>
      <c r="F731" s="45"/>
    </row>
    <row r="732" spans="3:6" ht="15.75" customHeight="1" x14ac:dyDescent="0.2">
      <c r="C732" s="45"/>
      <c r="D732" s="45"/>
      <c r="E732" s="45"/>
      <c r="F732" s="45"/>
    </row>
    <row r="733" spans="3:6" ht="15.75" customHeight="1" x14ac:dyDescent="0.2">
      <c r="C733" s="45"/>
      <c r="D733" s="45"/>
      <c r="E733" s="45"/>
      <c r="F733" s="45"/>
    </row>
    <row r="734" spans="3:6" ht="15.75" customHeight="1" x14ac:dyDescent="0.2">
      <c r="C734" s="45"/>
      <c r="D734" s="45"/>
      <c r="E734" s="45"/>
      <c r="F734" s="45"/>
    </row>
    <row r="735" spans="3:6" ht="15.75" customHeight="1" x14ac:dyDescent="0.2">
      <c r="C735" s="45"/>
      <c r="D735" s="45"/>
      <c r="E735" s="45"/>
      <c r="F735" s="45"/>
    </row>
    <row r="736" spans="3:6" ht="15.75" customHeight="1" x14ac:dyDescent="0.2">
      <c r="C736" s="45"/>
      <c r="D736" s="45"/>
      <c r="E736" s="45"/>
      <c r="F736" s="45"/>
    </row>
    <row r="737" spans="3:6" ht="15.75" customHeight="1" x14ac:dyDescent="0.2">
      <c r="C737" s="45"/>
      <c r="D737" s="45"/>
      <c r="E737" s="45"/>
      <c r="F737" s="45"/>
    </row>
    <row r="738" spans="3:6" ht="15.75" customHeight="1" x14ac:dyDescent="0.2">
      <c r="C738" s="45"/>
      <c r="D738" s="45"/>
      <c r="E738" s="45"/>
      <c r="F738" s="45"/>
    </row>
    <row r="739" spans="3:6" ht="15.75" customHeight="1" x14ac:dyDescent="0.2">
      <c r="C739" s="45"/>
      <c r="D739" s="45"/>
      <c r="E739" s="45"/>
      <c r="F739" s="45"/>
    </row>
    <row r="740" spans="3:6" ht="15.75" customHeight="1" x14ac:dyDescent="0.2">
      <c r="C740" s="45"/>
      <c r="D740" s="45"/>
      <c r="E740" s="45"/>
      <c r="F740" s="45"/>
    </row>
    <row r="741" spans="3:6" ht="15.75" customHeight="1" x14ac:dyDescent="0.2">
      <c r="C741" s="45"/>
      <c r="D741" s="45"/>
      <c r="E741" s="45"/>
      <c r="F741" s="45"/>
    </row>
    <row r="742" spans="3:6" ht="15.75" customHeight="1" x14ac:dyDescent="0.2">
      <c r="C742" s="45"/>
      <c r="D742" s="45"/>
      <c r="E742" s="45"/>
      <c r="F742" s="45"/>
    </row>
    <row r="743" spans="3:6" ht="15.75" customHeight="1" x14ac:dyDescent="0.2">
      <c r="C743" s="45"/>
      <c r="D743" s="45"/>
      <c r="E743" s="45"/>
      <c r="F743" s="45"/>
    </row>
    <row r="744" spans="3:6" ht="15.75" customHeight="1" x14ac:dyDescent="0.2">
      <c r="C744" s="45"/>
      <c r="D744" s="45"/>
      <c r="E744" s="45"/>
      <c r="F744" s="45"/>
    </row>
    <row r="745" spans="3:6" ht="15.75" customHeight="1" x14ac:dyDescent="0.2">
      <c r="C745" s="45"/>
      <c r="D745" s="45"/>
      <c r="E745" s="45"/>
      <c r="F745" s="45"/>
    </row>
    <row r="746" spans="3:6" ht="15.75" customHeight="1" x14ac:dyDescent="0.2">
      <c r="C746" s="45"/>
      <c r="D746" s="45"/>
      <c r="E746" s="45"/>
      <c r="F746" s="45"/>
    </row>
    <row r="747" spans="3:6" ht="15.75" customHeight="1" x14ac:dyDescent="0.2">
      <c r="C747" s="45"/>
      <c r="D747" s="45"/>
      <c r="E747" s="45"/>
      <c r="F747" s="45"/>
    </row>
    <row r="748" spans="3:6" ht="15.75" customHeight="1" x14ac:dyDescent="0.2">
      <c r="C748" s="45"/>
      <c r="D748" s="45"/>
      <c r="E748" s="45"/>
      <c r="F748" s="45"/>
    </row>
    <row r="749" spans="3:6" ht="15.75" customHeight="1" x14ac:dyDescent="0.2">
      <c r="C749" s="45"/>
      <c r="D749" s="45"/>
      <c r="E749" s="45"/>
      <c r="F749" s="45"/>
    </row>
    <row r="750" spans="3:6" ht="15.75" customHeight="1" x14ac:dyDescent="0.2">
      <c r="C750" s="45"/>
      <c r="D750" s="45"/>
      <c r="E750" s="45"/>
      <c r="F750" s="45"/>
    </row>
    <row r="751" spans="3:6" ht="15.75" customHeight="1" x14ac:dyDescent="0.2">
      <c r="C751" s="45"/>
      <c r="D751" s="45"/>
      <c r="E751" s="45"/>
      <c r="F751" s="45"/>
    </row>
    <row r="752" spans="3:6" ht="15.75" customHeight="1" x14ac:dyDescent="0.2">
      <c r="C752" s="45"/>
      <c r="D752" s="45"/>
      <c r="E752" s="45"/>
      <c r="F752" s="45"/>
    </row>
    <row r="753" spans="3:6" ht="15.75" customHeight="1" x14ac:dyDescent="0.2">
      <c r="C753" s="45"/>
      <c r="D753" s="45"/>
      <c r="E753" s="45"/>
      <c r="F753" s="45"/>
    </row>
    <row r="754" spans="3:6" ht="15.75" customHeight="1" x14ac:dyDescent="0.2">
      <c r="C754" s="45"/>
      <c r="D754" s="45"/>
      <c r="E754" s="45"/>
      <c r="F754" s="45"/>
    </row>
    <row r="755" spans="3:6" ht="15.75" customHeight="1" x14ac:dyDescent="0.2">
      <c r="C755" s="45"/>
      <c r="D755" s="45"/>
      <c r="E755" s="45"/>
      <c r="F755" s="45"/>
    </row>
    <row r="756" spans="3:6" ht="15.75" customHeight="1" x14ac:dyDescent="0.2">
      <c r="C756" s="45"/>
      <c r="D756" s="45"/>
      <c r="E756" s="45"/>
      <c r="F756" s="45"/>
    </row>
    <row r="757" spans="3:6" ht="15.75" customHeight="1" x14ac:dyDescent="0.2">
      <c r="C757" s="45"/>
      <c r="D757" s="45"/>
      <c r="E757" s="45"/>
      <c r="F757" s="45"/>
    </row>
    <row r="758" spans="3:6" ht="15.75" customHeight="1" x14ac:dyDescent="0.2">
      <c r="C758" s="45"/>
      <c r="D758" s="45"/>
      <c r="E758" s="45"/>
      <c r="F758" s="45"/>
    </row>
    <row r="759" spans="3:6" ht="15.75" customHeight="1" x14ac:dyDescent="0.2">
      <c r="C759" s="45"/>
      <c r="D759" s="45"/>
      <c r="E759" s="45"/>
      <c r="F759" s="45"/>
    </row>
    <row r="760" spans="3:6" ht="15.75" customHeight="1" x14ac:dyDescent="0.2">
      <c r="C760" s="45"/>
      <c r="D760" s="45"/>
      <c r="E760" s="45"/>
      <c r="F760" s="45"/>
    </row>
    <row r="761" spans="3:6" ht="15.75" customHeight="1" x14ac:dyDescent="0.2">
      <c r="C761" s="45"/>
      <c r="D761" s="45"/>
      <c r="E761" s="45"/>
      <c r="F761" s="45"/>
    </row>
    <row r="762" spans="3:6" ht="15.75" customHeight="1" x14ac:dyDescent="0.2">
      <c r="C762" s="45"/>
      <c r="D762" s="45"/>
      <c r="E762" s="45"/>
      <c r="F762" s="45"/>
    </row>
    <row r="763" spans="3:6" ht="15.75" customHeight="1" x14ac:dyDescent="0.2">
      <c r="C763" s="45"/>
      <c r="D763" s="45"/>
      <c r="E763" s="45"/>
      <c r="F763" s="45"/>
    </row>
    <row r="764" spans="3:6" ht="15.75" customHeight="1" x14ac:dyDescent="0.2">
      <c r="C764" s="45"/>
      <c r="D764" s="45"/>
      <c r="E764" s="45"/>
      <c r="F764" s="45"/>
    </row>
    <row r="765" spans="3:6" ht="15.75" customHeight="1" x14ac:dyDescent="0.2">
      <c r="C765" s="45"/>
      <c r="D765" s="45"/>
      <c r="E765" s="45"/>
      <c r="F765" s="45"/>
    </row>
    <row r="766" spans="3:6" ht="15.75" customHeight="1" x14ac:dyDescent="0.2">
      <c r="C766" s="45"/>
      <c r="D766" s="45"/>
      <c r="E766" s="45"/>
      <c r="F766" s="45"/>
    </row>
    <row r="767" spans="3:6" ht="15.75" customHeight="1" x14ac:dyDescent="0.2">
      <c r="C767" s="45"/>
      <c r="D767" s="45"/>
      <c r="E767" s="45"/>
      <c r="F767" s="45"/>
    </row>
    <row r="768" spans="3:6" ht="15.75" customHeight="1" x14ac:dyDescent="0.2">
      <c r="C768" s="45"/>
      <c r="D768" s="45"/>
      <c r="E768" s="45"/>
      <c r="F768" s="45"/>
    </row>
    <row r="769" spans="3:6" ht="15.75" customHeight="1" x14ac:dyDescent="0.2">
      <c r="C769" s="45"/>
      <c r="D769" s="45"/>
      <c r="E769" s="45"/>
      <c r="F769" s="45"/>
    </row>
    <row r="770" spans="3:6" ht="15.75" customHeight="1" x14ac:dyDescent="0.2">
      <c r="C770" s="45"/>
      <c r="D770" s="45"/>
      <c r="E770" s="45"/>
      <c r="F770" s="45"/>
    </row>
    <row r="771" spans="3:6" ht="15.75" customHeight="1" x14ac:dyDescent="0.2">
      <c r="C771" s="45"/>
      <c r="D771" s="45"/>
      <c r="E771" s="45"/>
      <c r="F771" s="45"/>
    </row>
    <row r="772" spans="3:6" ht="15.75" customHeight="1" x14ac:dyDescent="0.2">
      <c r="C772" s="45"/>
      <c r="D772" s="45"/>
      <c r="E772" s="45"/>
      <c r="F772" s="45"/>
    </row>
    <row r="773" spans="3:6" ht="15.75" customHeight="1" x14ac:dyDescent="0.2">
      <c r="C773" s="45"/>
      <c r="D773" s="45"/>
      <c r="E773" s="45"/>
      <c r="F773" s="45"/>
    </row>
    <row r="774" spans="3:6" ht="15.75" customHeight="1" x14ac:dyDescent="0.2">
      <c r="C774" s="45"/>
      <c r="D774" s="45"/>
      <c r="E774" s="45"/>
      <c r="F774" s="45"/>
    </row>
    <row r="775" spans="3:6" ht="15.75" customHeight="1" x14ac:dyDescent="0.2">
      <c r="C775" s="45"/>
      <c r="D775" s="45"/>
      <c r="E775" s="45"/>
      <c r="F775" s="45"/>
    </row>
    <row r="776" spans="3:6" ht="15.75" customHeight="1" x14ac:dyDescent="0.2">
      <c r="C776" s="45"/>
      <c r="D776" s="45"/>
      <c r="E776" s="45"/>
      <c r="F776" s="45"/>
    </row>
    <row r="777" spans="3:6" ht="15.75" customHeight="1" x14ac:dyDescent="0.2">
      <c r="C777" s="45"/>
      <c r="D777" s="45"/>
      <c r="E777" s="45"/>
      <c r="F777" s="45"/>
    </row>
    <row r="778" spans="3:6" ht="15.75" customHeight="1" x14ac:dyDescent="0.2">
      <c r="C778" s="45"/>
      <c r="D778" s="45"/>
      <c r="E778" s="45"/>
      <c r="F778" s="45"/>
    </row>
    <row r="779" spans="3:6" ht="15.75" customHeight="1" x14ac:dyDescent="0.2">
      <c r="C779" s="45"/>
      <c r="D779" s="45"/>
      <c r="E779" s="45"/>
      <c r="F779" s="45"/>
    </row>
    <row r="780" spans="3:6" ht="15.75" customHeight="1" x14ac:dyDescent="0.2">
      <c r="C780" s="45"/>
      <c r="D780" s="45"/>
      <c r="E780" s="45"/>
      <c r="F780" s="45"/>
    </row>
    <row r="781" spans="3:6" ht="15.75" customHeight="1" x14ac:dyDescent="0.2">
      <c r="C781" s="45"/>
      <c r="D781" s="45"/>
      <c r="E781" s="45"/>
      <c r="F781" s="45"/>
    </row>
    <row r="782" spans="3:6" ht="15.75" customHeight="1" x14ac:dyDescent="0.2">
      <c r="C782" s="45"/>
      <c r="D782" s="45"/>
      <c r="E782" s="45"/>
      <c r="F782" s="45"/>
    </row>
    <row r="783" spans="3:6" ht="15.75" customHeight="1" x14ac:dyDescent="0.2">
      <c r="C783" s="45"/>
      <c r="D783" s="45"/>
      <c r="E783" s="45"/>
      <c r="F783" s="45"/>
    </row>
    <row r="784" spans="3:6" ht="15.75" customHeight="1" x14ac:dyDescent="0.2">
      <c r="C784" s="45"/>
      <c r="D784" s="45"/>
      <c r="E784" s="45"/>
      <c r="F784" s="45"/>
    </row>
    <row r="785" spans="3:6" ht="15.75" customHeight="1" x14ac:dyDescent="0.2">
      <c r="C785" s="45"/>
      <c r="D785" s="45"/>
      <c r="E785" s="45"/>
      <c r="F785" s="45"/>
    </row>
    <row r="786" spans="3:6" ht="15.75" customHeight="1" x14ac:dyDescent="0.2">
      <c r="C786" s="45"/>
      <c r="D786" s="45"/>
      <c r="E786" s="45"/>
      <c r="F786" s="45"/>
    </row>
    <row r="787" spans="3:6" ht="15.75" customHeight="1" x14ac:dyDescent="0.2">
      <c r="C787" s="45"/>
      <c r="D787" s="45"/>
      <c r="E787" s="45"/>
      <c r="F787" s="45"/>
    </row>
    <row r="788" spans="3:6" ht="15.75" customHeight="1" x14ac:dyDescent="0.2">
      <c r="C788" s="45"/>
      <c r="D788" s="45"/>
      <c r="E788" s="45"/>
      <c r="F788" s="45"/>
    </row>
    <row r="789" spans="3:6" ht="15.75" customHeight="1" x14ac:dyDescent="0.2">
      <c r="C789" s="45"/>
      <c r="D789" s="45"/>
      <c r="E789" s="45"/>
      <c r="F789" s="45"/>
    </row>
    <row r="790" spans="3:6" ht="15.75" customHeight="1" x14ac:dyDescent="0.2">
      <c r="C790" s="45"/>
      <c r="D790" s="45"/>
      <c r="E790" s="45"/>
      <c r="F790" s="45"/>
    </row>
    <row r="791" spans="3:6" ht="15.75" customHeight="1" x14ac:dyDescent="0.2">
      <c r="C791" s="45"/>
      <c r="D791" s="45"/>
      <c r="E791" s="45"/>
      <c r="F791" s="45"/>
    </row>
    <row r="792" spans="3:6" ht="15.75" customHeight="1" x14ac:dyDescent="0.2">
      <c r="C792" s="45"/>
      <c r="D792" s="45"/>
      <c r="E792" s="45"/>
      <c r="F792" s="45"/>
    </row>
    <row r="793" spans="3:6" ht="15.75" customHeight="1" x14ac:dyDescent="0.2">
      <c r="C793" s="45"/>
      <c r="D793" s="45"/>
      <c r="E793" s="45"/>
      <c r="F793" s="45"/>
    </row>
    <row r="794" spans="3:6" ht="15.75" customHeight="1" x14ac:dyDescent="0.2">
      <c r="C794" s="45"/>
      <c r="D794" s="45"/>
      <c r="E794" s="45"/>
      <c r="F794" s="45"/>
    </row>
    <row r="795" spans="3:6" ht="15.75" customHeight="1" x14ac:dyDescent="0.2">
      <c r="C795" s="45"/>
      <c r="D795" s="45"/>
      <c r="E795" s="45"/>
      <c r="F795" s="45"/>
    </row>
    <row r="796" spans="3:6" ht="15.75" customHeight="1" x14ac:dyDescent="0.2">
      <c r="C796" s="45"/>
      <c r="D796" s="45"/>
      <c r="E796" s="45"/>
      <c r="F796" s="45"/>
    </row>
    <row r="797" spans="3:6" ht="15.75" customHeight="1" x14ac:dyDescent="0.2">
      <c r="C797" s="45"/>
      <c r="D797" s="45"/>
      <c r="E797" s="45"/>
      <c r="F797" s="45"/>
    </row>
    <row r="798" spans="3:6" ht="15.75" customHeight="1" x14ac:dyDescent="0.2">
      <c r="C798" s="45"/>
      <c r="D798" s="45"/>
      <c r="E798" s="45"/>
      <c r="F798" s="45"/>
    </row>
    <row r="799" spans="3:6" ht="15.75" customHeight="1" x14ac:dyDescent="0.2">
      <c r="C799" s="45"/>
      <c r="D799" s="45"/>
      <c r="E799" s="45"/>
      <c r="F799" s="45"/>
    </row>
    <row r="800" spans="3:6" ht="15.75" customHeight="1" x14ac:dyDescent="0.2">
      <c r="C800" s="45"/>
      <c r="D800" s="45"/>
      <c r="E800" s="45"/>
      <c r="F800" s="45"/>
    </row>
    <row r="801" spans="3:6" ht="15.75" customHeight="1" x14ac:dyDescent="0.2">
      <c r="C801" s="45"/>
      <c r="D801" s="45"/>
      <c r="E801" s="45"/>
      <c r="F801" s="45"/>
    </row>
    <row r="802" spans="3:6" ht="15.75" customHeight="1" x14ac:dyDescent="0.2">
      <c r="C802" s="45"/>
      <c r="D802" s="45"/>
      <c r="E802" s="45"/>
      <c r="F802" s="45"/>
    </row>
    <row r="803" spans="3:6" ht="15.75" customHeight="1" x14ac:dyDescent="0.2">
      <c r="C803" s="45"/>
      <c r="D803" s="45"/>
      <c r="E803" s="45"/>
      <c r="F803" s="45"/>
    </row>
    <row r="804" spans="3:6" ht="15.75" customHeight="1" x14ac:dyDescent="0.2">
      <c r="C804" s="45"/>
      <c r="D804" s="45"/>
      <c r="E804" s="45"/>
      <c r="F804" s="45"/>
    </row>
    <row r="805" spans="3:6" ht="15.75" customHeight="1" x14ac:dyDescent="0.2">
      <c r="C805" s="45"/>
      <c r="D805" s="45"/>
      <c r="E805" s="45"/>
      <c r="F805" s="45"/>
    </row>
    <row r="806" spans="3:6" ht="15.75" customHeight="1" x14ac:dyDescent="0.2">
      <c r="C806" s="45"/>
      <c r="D806" s="45"/>
      <c r="E806" s="45"/>
      <c r="F806" s="45"/>
    </row>
    <row r="807" spans="3:6" ht="15.75" customHeight="1" x14ac:dyDescent="0.2">
      <c r="C807" s="45"/>
      <c r="D807" s="45"/>
      <c r="E807" s="45"/>
      <c r="F807" s="45"/>
    </row>
    <row r="808" spans="3:6" ht="15.75" customHeight="1" x14ac:dyDescent="0.2">
      <c r="C808" s="45"/>
      <c r="D808" s="45"/>
      <c r="E808" s="45"/>
      <c r="F808" s="45"/>
    </row>
    <row r="809" spans="3:6" ht="15.75" customHeight="1" x14ac:dyDescent="0.2">
      <c r="C809" s="45"/>
      <c r="D809" s="45"/>
      <c r="E809" s="45"/>
      <c r="F809" s="45"/>
    </row>
    <row r="810" spans="3:6" ht="15.75" customHeight="1" x14ac:dyDescent="0.2">
      <c r="C810" s="45"/>
      <c r="D810" s="45"/>
      <c r="E810" s="45"/>
      <c r="F810" s="45"/>
    </row>
    <row r="811" spans="3:6" ht="15.75" customHeight="1" x14ac:dyDescent="0.2">
      <c r="C811" s="45"/>
      <c r="D811" s="45"/>
      <c r="E811" s="45"/>
      <c r="F811" s="45"/>
    </row>
    <row r="812" spans="3:6" ht="15.75" customHeight="1" x14ac:dyDescent="0.2">
      <c r="C812" s="45"/>
      <c r="D812" s="45"/>
      <c r="E812" s="45"/>
      <c r="F812" s="45"/>
    </row>
    <row r="813" spans="3:6" ht="15.75" customHeight="1" x14ac:dyDescent="0.2">
      <c r="C813" s="45"/>
      <c r="D813" s="45"/>
      <c r="E813" s="45"/>
      <c r="F813" s="45"/>
    </row>
    <row r="814" spans="3:6" ht="15.75" customHeight="1" x14ac:dyDescent="0.2">
      <c r="C814" s="45"/>
      <c r="D814" s="45"/>
      <c r="E814" s="45"/>
      <c r="F814" s="45"/>
    </row>
    <row r="815" spans="3:6" ht="15.75" customHeight="1" x14ac:dyDescent="0.2">
      <c r="C815" s="45"/>
      <c r="D815" s="45"/>
      <c r="E815" s="45"/>
      <c r="F815" s="45"/>
    </row>
    <row r="816" spans="3:6" ht="15.75" customHeight="1" x14ac:dyDescent="0.2">
      <c r="C816" s="45"/>
      <c r="D816" s="45"/>
      <c r="E816" s="45"/>
      <c r="F816" s="45"/>
    </row>
    <row r="817" spans="3:6" ht="15.75" customHeight="1" x14ac:dyDescent="0.2">
      <c r="C817" s="45"/>
      <c r="D817" s="45"/>
      <c r="E817" s="45"/>
      <c r="F817" s="45"/>
    </row>
    <row r="818" spans="3:6" ht="15.75" customHeight="1" x14ac:dyDescent="0.2">
      <c r="C818" s="45"/>
      <c r="D818" s="45"/>
      <c r="E818" s="45"/>
      <c r="F818" s="45"/>
    </row>
    <row r="819" spans="3:6" ht="15.75" customHeight="1" x14ac:dyDescent="0.2">
      <c r="C819" s="45"/>
      <c r="D819" s="45"/>
      <c r="E819" s="45"/>
      <c r="F819" s="45"/>
    </row>
    <row r="820" spans="3:6" ht="15.75" customHeight="1" x14ac:dyDescent="0.2">
      <c r="C820" s="45"/>
      <c r="D820" s="45"/>
      <c r="E820" s="45"/>
      <c r="F820" s="45"/>
    </row>
    <row r="821" spans="3:6" ht="15.75" customHeight="1" x14ac:dyDescent="0.2">
      <c r="C821" s="45"/>
      <c r="D821" s="45"/>
      <c r="E821" s="45"/>
      <c r="F821" s="45"/>
    </row>
    <row r="822" spans="3:6" ht="15.75" customHeight="1" x14ac:dyDescent="0.2">
      <c r="C822" s="45"/>
      <c r="D822" s="45"/>
      <c r="E822" s="45"/>
      <c r="F822" s="45"/>
    </row>
    <row r="823" spans="3:6" ht="15.75" customHeight="1" x14ac:dyDescent="0.2">
      <c r="C823" s="45"/>
      <c r="D823" s="45"/>
      <c r="E823" s="45"/>
      <c r="F823" s="45"/>
    </row>
    <row r="824" spans="3:6" ht="15.75" customHeight="1" x14ac:dyDescent="0.2">
      <c r="C824" s="45"/>
      <c r="D824" s="45"/>
      <c r="E824" s="45"/>
      <c r="F824" s="45"/>
    </row>
    <row r="825" spans="3:6" ht="15.75" customHeight="1" x14ac:dyDescent="0.2">
      <c r="C825" s="45"/>
      <c r="D825" s="45"/>
      <c r="E825" s="45"/>
      <c r="F825" s="45"/>
    </row>
    <row r="826" spans="3:6" ht="15.75" customHeight="1" x14ac:dyDescent="0.2">
      <c r="C826" s="45"/>
      <c r="D826" s="45"/>
      <c r="E826" s="45"/>
      <c r="F826" s="45"/>
    </row>
    <row r="827" spans="3:6" ht="15.75" customHeight="1" x14ac:dyDescent="0.2">
      <c r="C827" s="45"/>
      <c r="D827" s="45"/>
      <c r="E827" s="45"/>
      <c r="F827" s="45"/>
    </row>
    <row r="828" spans="3:6" ht="15.75" customHeight="1" x14ac:dyDescent="0.2">
      <c r="C828" s="45"/>
      <c r="D828" s="45"/>
      <c r="E828" s="45"/>
      <c r="F828" s="45"/>
    </row>
    <row r="829" spans="3:6" ht="15.75" customHeight="1" x14ac:dyDescent="0.2">
      <c r="C829" s="45"/>
      <c r="D829" s="45"/>
      <c r="E829" s="45"/>
      <c r="F829" s="45"/>
    </row>
    <row r="830" spans="3:6" ht="15.75" customHeight="1" x14ac:dyDescent="0.2">
      <c r="C830" s="45"/>
      <c r="D830" s="45"/>
      <c r="E830" s="45"/>
      <c r="F830" s="45"/>
    </row>
    <row r="831" spans="3:6" ht="15.75" customHeight="1" x14ac:dyDescent="0.2">
      <c r="C831" s="45"/>
      <c r="D831" s="45"/>
      <c r="E831" s="45"/>
      <c r="F831" s="45"/>
    </row>
    <row r="832" spans="3:6" ht="15.75" customHeight="1" x14ac:dyDescent="0.2">
      <c r="C832" s="45"/>
      <c r="D832" s="45"/>
      <c r="E832" s="45"/>
      <c r="F832" s="45"/>
    </row>
    <row r="833" spans="3:6" ht="15.75" customHeight="1" x14ac:dyDescent="0.2">
      <c r="C833" s="45"/>
      <c r="D833" s="45"/>
      <c r="E833" s="45"/>
      <c r="F833" s="45"/>
    </row>
    <row r="834" spans="3:6" ht="15.75" customHeight="1" x14ac:dyDescent="0.2">
      <c r="C834" s="45"/>
      <c r="D834" s="45"/>
      <c r="E834" s="45"/>
      <c r="F834" s="45"/>
    </row>
    <row r="835" spans="3:6" ht="15.75" customHeight="1" x14ac:dyDescent="0.2">
      <c r="C835" s="45"/>
      <c r="D835" s="45"/>
      <c r="E835" s="45"/>
      <c r="F835" s="45"/>
    </row>
    <row r="836" spans="3:6" ht="15.75" customHeight="1" x14ac:dyDescent="0.2">
      <c r="C836" s="45"/>
      <c r="D836" s="45"/>
      <c r="E836" s="45"/>
      <c r="F836" s="45"/>
    </row>
    <row r="837" spans="3:6" ht="15.75" customHeight="1" x14ac:dyDescent="0.2">
      <c r="C837" s="45"/>
      <c r="D837" s="45"/>
      <c r="E837" s="45"/>
      <c r="F837" s="45"/>
    </row>
    <row r="838" spans="3:6" ht="15.75" customHeight="1" x14ac:dyDescent="0.2">
      <c r="C838" s="45"/>
      <c r="D838" s="45"/>
      <c r="E838" s="45"/>
      <c r="F838" s="45"/>
    </row>
    <row r="839" spans="3:6" ht="15.75" customHeight="1" x14ac:dyDescent="0.2">
      <c r="C839" s="45"/>
      <c r="D839" s="45"/>
      <c r="E839" s="45"/>
      <c r="F839" s="45"/>
    </row>
    <row r="840" spans="3:6" ht="15.75" customHeight="1" x14ac:dyDescent="0.2">
      <c r="C840" s="45"/>
      <c r="D840" s="45"/>
      <c r="E840" s="45"/>
      <c r="F840" s="45"/>
    </row>
    <row r="841" spans="3:6" ht="15.75" customHeight="1" x14ac:dyDescent="0.2">
      <c r="C841" s="45"/>
      <c r="D841" s="45"/>
      <c r="E841" s="45"/>
      <c r="F841" s="45"/>
    </row>
    <row r="842" spans="3:6" ht="15.75" customHeight="1" x14ac:dyDescent="0.2">
      <c r="C842" s="45"/>
      <c r="D842" s="45"/>
      <c r="E842" s="45"/>
      <c r="F842" s="45"/>
    </row>
    <row r="843" spans="3:6" ht="15.75" customHeight="1" x14ac:dyDescent="0.2">
      <c r="C843" s="45"/>
      <c r="D843" s="45"/>
      <c r="E843" s="45"/>
      <c r="F843" s="45"/>
    </row>
    <row r="844" spans="3:6" ht="15.75" customHeight="1" x14ac:dyDescent="0.2">
      <c r="C844" s="45"/>
      <c r="D844" s="45"/>
      <c r="E844" s="45"/>
      <c r="F844" s="45"/>
    </row>
    <row r="845" spans="3:6" ht="15.75" customHeight="1" x14ac:dyDescent="0.2">
      <c r="C845" s="45"/>
      <c r="D845" s="45"/>
      <c r="E845" s="45"/>
      <c r="F845" s="45"/>
    </row>
    <row r="846" spans="3:6" ht="15.75" customHeight="1" x14ac:dyDescent="0.2">
      <c r="C846" s="45"/>
      <c r="D846" s="45"/>
      <c r="E846" s="45"/>
      <c r="F846" s="45"/>
    </row>
    <row r="847" spans="3:6" ht="15.75" customHeight="1" x14ac:dyDescent="0.2">
      <c r="C847" s="45"/>
      <c r="D847" s="45"/>
      <c r="E847" s="45"/>
      <c r="F847" s="45"/>
    </row>
    <row r="848" spans="3:6" ht="15.75" customHeight="1" x14ac:dyDescent="0.2">
      <c r="C848" s="45"/>
      <c r="D848" s="45"/>
      <c r="E848" s="45"/>
      <c r="F848" s="45"/>
    </row>
    <row r="849" spans="3:6" ht="15.75" customHeight="1" x14ac:dyDescent="0.2">
      <c r="C849" s="45"/>
      <c r="D849" s="45"/>
      <c r="E849" s="45"/>
      <c r="F849" s="45"/>
    </row>
    <row r="850" spans="3:6" ht="15.75" customHeight="1" x14ac:dyDescent="0.2">
      <c r="C850" s="45"/>
      <c r="D850" s="45"/>
      <c r="E850" s="45"/>
      <c r="F850" s="45"/>
    </row>
    <row r="851" spans="3:6" ht="15.75" customHeight="1" x14ac:dyDescent="0.2">
      <c r="C851" s="45"/>
      <c r="D851" s="45"/>
      <c r="E851" s="45"/>
      <c r="F851" s="45"/>
    </row>
    <row r="852" spans="3:6" ht="15.75" customHeight="1" x14ac:dyDescent="0.2">
      <c r="C852" s="45"/>
      <c r="D852" s="45"/>
      <c r="E852" s="45"/>
      <c r="F852" s="45"/>
    </row>
    <row r="853" spans="3:6" ht="15.75" customHeight="1" x14ac:dyDescent="0.2">
      <c r="C853" s="45"/>
      <c r="D853" s="45"/>
      <c r="E853" s="45"/>
      <c r="F853" s="45"/>
    </row>
    <row r="854" spans="3:6" ht="15.75" customHeight="1" x14ac:dyDescent="0.2">
      <c r="C854" s="45"/>
      <c r="D854" s="45"/>
      <c r="E854" s="45"/>
      <c r="F854" s="45"/>
    </row>
    <row r="855" spans="3:6" ht="15.75" customHeight="1" x14ac:dyDescent="0.2">
      <c r="C855" s="45"/>
      <c r="D855" s="45"/>
      <c r="E855" s="45"/>
      <c r="F855" s="45"/>
    </row>
    <row r="856" spans="3:6" ht="15.75" customHeight="1" x14ac:dyDescent="0.2">
      <c r="C856" s="45"/>
      <c r="D856" s="45"/>
      <c r="E856" s="45"/>
      <c r="F856" s="45"/>
    </row>
    <row r="857" spans="3:6" ht="15.75" customHeight="1" x14ac:dyDescent="0.2">
      <c r="C857" s="45"/>
      <c r="D857" s="45"/>
      <c r="E857" s="45"/>
      <c r="F857" s="45"/>
    </row>
    <row r="858" spans="3:6" ht="15.75" customHeight="1" x14ac:dyDescent="0.2">
      <c r="C858" s="45"/>
      <c r="D858" s="45"/>
      <c r="E858" s="45"/>
      <c r="F858" s="45"/>
    </row>
    <row r="859" spans="3:6" ht="15.75" customHeight="1" x14ac:dyDescent="0.2">
      <c r="C859" s="45"/>
      <c r="D859" s="45"/>
      <c r="E859" s="45"/>
      <c r="F859" s="45"/>
    </row>
    <row r="860" spans="3:6" ht="15.75" customHeight="1" x14ac:dyDescent="0.2">
      <c r="C860" s="45"/>
      <c r="D860" s="45"/>
      <c r="E860" s="45"/>
      <c r="F860" s="45"/>
    </row>
    <row r="861" spans="3:6" ht="15.75" customHeight="1" x14ac:dyDescent="0.2">
      <c r="C861" s="45"/>
      <c r="D861" s="45"/>
      <c r="E861" s="45"/>
      <c r="F861" s="45"/>
    </row>
    <row r="862" spans="3:6" ht="15.75" customHeight="1" x14ac:dyDescent="0.2">
      <c r="C862" s="45"/>
      <c r="D862" s="45"/>
      <c r="E862" s="45"/>
      <c r="F862" s="45"/>
    </row>
    <row r="863" spans="3:6" ht="15.75" customHeight="1" x14ac:dyDescent="0.2">
      <c r="C863" s="45"/>
      <c r="D863" s="45"/>
      <c r="E863" s="45"/>
      <c r="F863" s="45"/>
    </row>
    <row r="864" spans="3:6" ht="15.75" customHeight="1" x14ac:dyDescent="0.2">
      <c r="C864" s="45"/>
      <c r="D864" s="45"/>
      <c r="E864" s="45"/>
      <c r="F864" s="45"/>
    </row>
    <row r="865" spans="3:6" ht="15.75" customHeight="1" x14ac:dyDescent="0.2">
      <c r="C865" s="45"/>
      <c r="D865" s="45"/>
      <c r="E865" s="45"/>
      <c r="F865" s="45"/>
    </row>
    <row r="866" spans="3:6" ht="15.75" customHeight="1" x14ac:dyDescent="0.2">
      <c r="C866" s="45"/>
      <c r="D866" s="45"/>
      <c r="E866" s="45"/>
      <c r="F866" s="45"/>
    </row>
    <row r="867" spans="3:6" ht="15.75" customHeight="1" x14ac:dyDescent="0.2">
      <c r="C867" s="45"/>
      <c r="D867" s="45"/>
      <c r="E867" s="45"/>
      <c r="F867" s="45"/>
    </row>
    <row r="868" spans="3:6" ht="15.75" customHeight="1" x14ac:dyDescent="0.2">
      <c r="C868" s="45"/>
      <c r="D868" s="45"/>
      <c r="E868" s="45"/>
      <c r="F868" s="45"/>
    </row>
    <row r="869" spans="3:6" ht="15.75" customHeight="1" x14ac:dyDescent="0.2">
      <c r="C869" s="45"/>
      <c r="D869" s="45"/>
      <c r="E869" s="45"/>
      <c r="F869" s="45"/>
    </row>
    <row r="870" spans="3:6" ht="15.75" customHeight="1" x14ac:dyDescent="0.2">
      <c r="C870" s="45"/>
      <c r="D870" s="45"/>
      <c r="E870" s="45"/>
      <c r="F870" s="45"/>
    </row>
    <row r="871" spans="3:6" ht="15.75" customHeight="1" x14ac:dyDescent="0.2">
      <c r="C871" s="45"/>
      <c r="D871" s="45"/>
      <c r="E871" s="45"/>
      <c r="F871" s="45"/>
    </row>
    <row r="872" spans="3:6" ht="15.75" customHeight="1" x14ac:dyDescent="0.2">
      <c r="C872" s="45"/>
      <c r="D872" s="45"/>
      <c r="E872" s="45"/>
      <c r="F872" s="45"/>
    </row>
    <row r="873" spans="3:6" ht="15.75" customHeight="1" x14ac:dyDescent="0.2">
      <c r="C873" s="45"/>
      <c r="D873" s="45"/>
      <c r="E873" s="45"/>
      <c r="F873" s="45"/>
    </row>
    <row r="874" spans="3:6" ht="15.75" customHeight="1" x14ac:dyDescent="0.2">
      <c r="C874" s="45"/>
      <c r="D874" s="45"/>
      <c r="E874" s="45"/>
      <c r="F874" s="45"/>
    </row>
    <row r="875" spans="3:6" ht="15.75" customHeight="1" x14ac:dyDescent="0.2">
      <c r="C875" s="45"/>
      <c r="D875" s="45"/>
      <c r="E875" s="45"/>
      <c r="F875" s="45"/>
    </row>
    <row r="876" spans="3:6" ht="15.75" customHeight="1" x14ac:dyDescent="0.2">
      <c r="C876" s="45"/>
      <c r="D876" s="45"/>
      <c r="E876" s="45"/>
      <c r="F876" s="45"/>
    </row>
    <row r="877" spans="3:6" ht="15.75" customHeight="1" x14ac:dyDescent="0.2">
      <c r="C877" s="45"/>
      <c r="D877" s="45"/>
      <c r="E877" s="45"/>
      <c r="F877" s="45"/>
    </row>
    <row r="878" spans="3:6" ht="15.75" customHeight="1" x14ac:dyDescent="0.2">
      <c r="C878" s="45"/>
      <c r="D878" s="45"/>
      <c r="E878" s="45"/>
      <c r="F878" s="45"/>
    </row>
    <row r="879" spans="3:6" ht="15.75" customHeight="1" x14ac:dyDescent="0.2">
      <c r="C879" s="45"/>
      <c r="D879" s="45"/>
      <c r="E879" s="45"/>
      <c r="F879" s="45"/>
    </row>
    <row r="880" spans="3:6" ht="15.75" customHeight="1" x14ac:dyDescent="0.2">
      <c r="C880" s="45"/>
      <c r="D880" s="45"/>
      <c r="E880" s="45"/>
      <c r="F880" s="45"/>
    </row>
    <row r="881" spans="3:6" ht="15.75" customHeight="1" x14ac:dyDescent="0.2">
      <c r="C881" s="45"/>
      <c r="D881" s="45"/>
      <c r="E881" s="45"/>
      <c r="F881" s="45"/>
    </row>
    <row r="882" spans="3:6" ht="15.75" customHeight="1" x14ac:dyDescent="0.2">
      <c r="C882" s="45"/>
      <c r="D882" s="45"/>
      <c r="E882" s="45"/>
      <c r="F882" s="45"/>
    </row>
    <row r="883" spans="3:6" ht="15.75" customHeight="1" x14ac:dyDescent="0.2">
      <c r="C883" s="45"/>
      <c r="D883" s="45"/>
      <c r="E883" s="45"/>
      <c r="F883" s="45"/>
    </row>
    <row r="884" spans="3:6" ht="15.75" customHeight="1" x14ac:dyDescent="0.2">
      <c r="C884" s="45"/>
      <c r="D884" s="45"/>
      <c r="E884" s="45"/>
      <c r="F884" s="45"/>
    </row>
    <row r="885" spans="3:6" ht="15.75" customHeight="1" x14ac:dyDescent="0.2">
      <c r="C885" s="45"/>
      <c r="D885" s="45"/>
      <c r="E885" s="45"/>
      <c r="F885" s="45"/>
    </row>
    <row r="886" spans="3:6" ht="15.75" customHeight="1" x14ac:dyDescent="0.2">
      <c r="C886" s="45"/>
      <c r="D886" s="45"/>
      <c r="E886" s="45"/>
      <c r="F886" s="45"/>
    </row>
    <row r="887" spans="3:6" ht="15.75" customHeight="1" x14ac:dyDescent="0.2">
      <c r="C887" s="45"/>
      <c r="D887" s="45"/>
      <c r="E887" s="45"/>
      <c r="F887" s="45"/>
    </row>
    <row r="888" spans="3:6" ht="15.75" customHeight="1" x14ac:dyDescent="0.2">
      <c r="C888" s="45"/>
      <c r="D888" s="45"/>
      <c r="E888" s="45"/>
      <c r="F888" s="45"/>
    </row>
    <row r="889" spans="3:6" ht="15.75" customHeight="1" x14ac:dyDescent="0.2">
      <c r="C889" s="45"/>
      <c r="D889" s="45"/>
      <c r="E889" s="45"/>
      <c r="F889" s="45"/>
    </row>
    <row r="890" spans="3:6" ht="15.75" customHeight="1" x14ac:dyDescent="0.2">
      <c r="C890" s="45"/>
      <c r="D890" s="45"/>
      <c r="E890" s="45"/>
      <c r="F890" s="45"/>
    </row>
    <row r="891" spans="3:6" ht="15.75" customHeight="1" x14ac:dyDescent="0.2">
      <c r="C891" s="45"/>
      <c r="D891" s="45"/>
      <c r="E891" s="45"/>
      <c r="F891" s="45"/>
    </row>
    <row r="892" spans="3:6" ht="15.75" customHeight="1" x14ac:dyDescent="0.2">
      <c r="C892" s="45"/>
      <c r="D892" s="45"/>
      <c r="E892" s="45"/>
      <c r="F892" s="45"/>
    </row>
    <row r="893" spans="3:6" ht="15.75" customHeight="1" x14ac:dyDescent="0.2">
      <c r="C893" s="45"/>
      <c r="D893" s="45"/>
      <c r="E893" s="45"/>
      <c r="F893" s="45"/>
    </row>
    <row r="894" spans="3:6" ht="15.75" customHeight="1" x14ac:dyDescent="0.2">
      <c r="C894" s="45"/>
      <c r="D894" s="45"/>
      <c r="E894" s="45"/>
      <c r="F894" s="45"/>
    </row>
    <row r="895" spans="3:6" ht="15.75" customHeight="1" x14ac:dyDescent="0.2">
      <c r="C895" s="45"/>
      <c r="D895" s="45"/>
      <c r="E895" s="45"/>
      <c r="F895" s="45"/>
    </row>
    <row r="896" spans="3:6" ht="15.75" customHeight="1" x14ac:dyDescent="0.2">
      <c r="C896" s="45"/>
      <c r="D896" s="45"/>
      <c r="E896" s="45"/>
      <c r="F896" s="45"/>
    </row>
    <row r="897" spans="3:6" ht="15.75" customHeight="1" x14ac:dyDescent="0.2">
      <c r="C897" s="45"/>
      <c r="D897" s="45"/>
      <c r="E897" s="45"/>
      <c r="F897" s="45"/>
    </row>
    <row r="898" spans="3:6" ht="15.75" customHeight="1" x14ac:dyDescent="0.2">
      <c r="C898" s="45"/>
      <c r="D898" s="45"/>
      <c r="E898" s="45"/>
      <c r="F898" s="45"/>
    </row>
    <row r="899" spans="3:6" ht="15.75" customHeight="1" x14ac:dyDescent="0.2">
      <c r="C899" s="45"/>
      <c r="D899" s="45"/>
      <c r="E899" s="45"/>
      <c r="F899" s="45"/>
    </row>
    <row r="900" spans="3:6" ht="15.75" customHeight="1" x14ac:dyDescent="0.2">
      <c r="C900" s="45"/>
      <c r="D900" s="45"/>
      <c r="E900" s="45"/>
      <c r="F900" s="45"/>
    </row>
    <row r="901" spans="3:6" ht="15.75" customHeight="1" x14ac:dyDescent="0.2">
      <c r="C901" s="45"/>
      <c r="D901" s="45"/>
      <c r="E901" s="45"/>
      <c r="F901" s="45"/>
    </row>
    <row r="902" spans="3:6" ht="15.75" customHeight="1" x14ac:dyDescent="0.2">
      <c r="C902" s="45"/>
      <c r="D902" s="45"/>
      <c r="E902" s="45"/>
      <c r="F902" s="45"/>
    </row>
    <row r="903" spans="3:6" ht="15.75" customHeight="1" x14ac:dyDescent="0.2">
      <c r="C903" s="45"/>
      <c r="D903" s="45"/>
      <c r="E903" s="45"/>
      <c r="F903" s="45"/>
    </row>
    <row r="904" spans="3:6" ht="15.75" customHeight="1" x14ac:dyDescent="0.2">
      <c r="C904" s="45"/>
      <c r="D904" s="45"/>
      <c r="E904" s="45"/>
      <c r="F904" s="45"/>
    </row>
    <row r="905" spans="3:6" ht="15.75" customHeight="1" x14ac:dyDescent="0.2">
      <c r="C905" s="45"/>
      <c r="D905" s="45"/>
      <c r="E905" s="45"/>
      <c r="F905" s="45"/>
    </row>
    <row r="906" spans="3:6" ht="15.75" customHeight="1" x14ac:dyDescent="0.2">
      <c r="C906" s="45"/>
      <c r="D906" s="45"/>
      <c r="E906" s="45"/>
      <c r="F906" s="45"/>
    </row>
    <row r="907" spans="3:6" ht="15.75" customHeight="1" x14ac:dyDescent="0.2">
      <c r="C907" s="45"/>
      <c r="D907" s="45"/>
      <c r="E907" s="45"/>
      <c r="F907" s="45"/>
    </row>
    <row r="908" spans="3:6" ht="15.75" customHeight="1" x14ac:dyDescent="0.2">
      <c r="C908" s="45"/>
      <c r="D908" s="45"/>
      <c r="E908" s="45"/>
      <c r="F908" s="45"/>
    </row>
    <row r="909" spans="3:6" ht="15.75" customHeight="1" x14ac:dyDescent="0.2">
      <c r="C909" s="45"/>
      <c r="D909" s="45"/>
      <c r="E909" s="45"/>
      <c r="F909" s="45"/>
    </row>
    <row r="910" spans="3:6" ht="15.75" customHeight="1" x14ac:dyDescent="0.2">
      <c r="C910" s="45"/>
      <c r="D910" s="45"/>
      <c r="E910" s="45"/>
      <c r="F910" s="45"/>
    </row>
    <row r="911" spans="3:6" ht="15.75" customHeight="1" x14ac:dyDescent="0.2">
      <c r="C911" s="45"/>
      <c r="D911" s="45"/>
      <c r="E911" s="45"/>
      <c r="F911" s="45"/>
    </row>
    <row r="912" spans="3:6" ht="15.75" customHeight="1" x14ac:dyDescent="0.2">
      <c r="C912" s="45"/>
      <c r="D912" s="45"/>
      <c r="E912" s="45"/>
      <c r="F912" s="45"/>
    </row>
    <row r="913" spans="3:6" ht="15.75" customHeight="1" x14ac:dyDescent="0.2">
      <c r="C913" s="45"/>
      <c r="D913" s="45"/>
      <c r="E913" s="45"/>
      <c r="F913" s="45"/>
    </row>
    <row r="914" spans="3:6" ht="15.75" customHeight="1" x14ac:dyDescent="0.2">
      <c r="C914" s="45"/>
      <c r="D914" s="45"/>
      <c r="E914" s="45"/>
      <c r="F914" s="45"/>
    </row>
    <row r="915" spans="3:6" ht="15.75" customHeight="1" x14ac:dyDescent="0.2">
      <c r="C915" s="45"/>
      <c r="D915" s="45"/>
      <c r="E915" s="45"/>
      <c r="F915" s="45"/>
    </row>
    <row r="916" spans="3:6" ht="15.75" customHeight="1" x14ac:dyDescent="0.2">
      <c r="C916" s="45"/>
      <c r="D916" s="45"/>
      <c r="E916" s="45"/>
      <c r="F916" s="45"/>
    </row>
    <row r="917" spans="3:6" ht="15.75" customHeight="1" x14ac:dyDescent="0.2">
      <c r="C917" s="45"/>
      <c r="D917" s="45"/>
      <c r="E917" s="45"/>
      <c r="F917" s="45"/>
    </row>
    <row r="918" spans="3:6" ht="15.75" customHeight="1" x14ac:dyDescent="0.2">
      <c r="C918" s="45"/>
      <c r="D918" s="45"/>
      <c r="E918" s="45"/>
      <c r="F918" s="45"/>
    </row>
    <row r="919" spans="3:6" ht="15.75" customHeight="1" x14ac:dyDescent="0.2">
      <c r="C919" s="45"/>
      <c r="D919" s="45"/>
      <c r="E919" s="45"/>
      <c r="F919" s="45"/>
    </row>
    <row r="920" spans="3:6" ht="15.75" customHeight="1" x14ac:dyDescent="0.2">
      <c r="C920" s="45"/>
      <c r="D920" s="45"/>
      <c r="E920" s="45"/>
      <c r="F920" s="45"/>
    </row>
    <row r="921" spans="3:6" ht="15.75" customHeight="1" x14ac:dyDescent="0.2">
      <c r="C921" s="45"/>
      <c r="D921" s="45"/>
      <c r="E921" s="45"/>
      <c r="F921" s="45"/>
    </row>
    <row r="922" spans="3:6" ht="15.75" customHeight="1" x14ac:dyDescent="0.2">
      <c r="C922" s="45"/>
      <c r="D922" s="45"/>
      <c r="E922" s="45"/>
      <c r="F922" s="45"/>
    </row>
    <row r="923" spans="3:6" ht="15.75" customHeight="1" x14ac:dyDescent="0.2">
      <c r="C923" s="45"/>
      <c r="D923" s="45"/>
      <c r="E923" s="45"/>
      <c r="F923" s="45"/>
    </row>
    <row r="924" spans="3:6" ht="15.75" customHeight="1" x14ac:dyDescent="0.2">
      <c r="C924" s="45"/>
      <c r="D924" s="45"/>
      <c r="E924" s="45"/>
      <c r="F924" s="45"/>
    </row>
    <row r="925" spans="3:6" ht="15.75" customHeight="1" x14ac:dyDescent="0.2">
      <c r="C925" s="45"/>
      <c r="D925" s="45"/>
      <c r="E925" s="45"/>
      <c r="F925" s="45"/>
    </row>
    <row r="926" spans="3:6" ht="15.75" customHeight="1" x14ac:dyDescent="0.2">
      <c r="C926" s="45"/>
      <c r="D926" s="45"/>
      <c r="E926" s="45"/>
      <c r="F926" s="45"/>
    </row>
    <row r="927" spans="3:6" ht="15.75" customHeight="1" x14ac:dyDescent="0.2">
      <c r="C927" s="45"/>
      <c r="D927" s="45"/>
      <c r="E927" s="45"/>
      <c r="F927" s="45"/>
    </row>
    <row r="928" spans="3:6" ht="15.75" customHeight="1" x14ac:dyDescent="0.2">
      <c r="C928" s="45"/>
      <c r="D928" s="45"/>
      <c r="E928" s="45"/>
      <c r="F928" s="45"/>
    </row>
    <row r="929" spans="3:6" ht="15.75" customHeight="1" x14ac:dyDescent="0.2">
      <c r="C929" s="45"/>
      <c r="D929" s="45"/>
      <c r="E929" s="45"/>
      <c r="F929" s="45"/>
    </row>
    <row r="930" spans="3:6" ht="15.75" customHeight="1" x14ac:dyDescent="0.2">
      <c r="C930" s="45"/>
      <c r="D930" s="45"/>
      <c r="E930" s="45"/>
      <c r="F930" s="45"/>
    </row>
    <row r="931" spans="3:6" ht="15.75" customHeight="1" x14ac:dyDescent="0.2">
      <c r="C931" s="45"/>
      <c r="D931" s="45"/>
      <c r="E931" s="45"/>
      <c r="F931" s="45"/>
    </row>
    <row r="932" spans="3:6" ht="15.75" customHeight="1" x14ac:dyDescent="0.2">
      <c r="C932" s="45"/>
      <c r="D932" s="45"/>
      <c r="E932" s="45"/>
      <c r="F932" s="45"/>
    </row>
    <row r="933" spans="3:6" ht="15.75" customHeight="1" x14ac:dyDescent="0.2">
      <c r="C933" s="45"/>
      <c r="D933" s="45"/>
      <c r="E933" s="45"/>
      <c r="F933" s="45"/>
    </row>
    <row r="934" spans="3:6" ht="15.75" customHeight="1" x14ac:dyDescent="0.2">
      <c r="C934" s="45"/>
      <c r="D934" s="45"/>
      <c r="E934" s="45"/>
      <c r="F934" s="45"/>
    </row>
    <row r="935" spans="3:6" ht="15.75" customHeight="1" x14ac:dyDescent="0.2">
      <c r="C935" s="45"/>
      <c r="D935" s="45"/>
      <c r="E935" s="45"/>
      <c r="F935" s="45"/>
    </row>
    <row r="936" spans="3:6" ht="15.75" customHeight="1" x14ac:dyDescent="0.2">
      <c r="C936" s="45"/>
      <c r="D936" s="45"/>
      <c r="E936" s="45"/>
      <c r="F936" s="45"/>
    </row>
    <row r="937" spans="3:6" ht="15.75" customHeight="1" x14ac:dyDescent="0.2">
      <c r="C937" s="45"/>
      <c r="D937" s="45"/>
      <c r="E937" s="45"/>
      <c r="F937" s="45"/>
    </row>
    <row r="938" spans="3:6" ht="15.75" customHeight="1" x14ac:dyDescent="0.2">
      <c r="C938" s="45"/>
      <c r="D938" s="45"/>
      <c r="E938" s="45"/>
      <c r="F938" s="45"/>
    </row>
    <row r="939" spans="3:6" ht="15.75" customHeight="1" x14ac:dyDescent="0.2">
      <c r="C939" s="45"/>
      <c r="D939" s="45"/>
      <c r="E939" s="45"/>
      <c r="F939" s="45"/>
    </row>
    <row r="940" spans="3:6" ht="15.75" customHeight="1" x14ac:dyDescent="0.2">
      <c r="C940" s="45"/>
      <c r="D940" s="45"/>
      <c r="E940" s="45"/>
      <c r="F940" s="45"/>
    </row>
    <row r="941" spans="3:6" ht="15.75" customHeight="1" x14ac:dyDescent="0.2">
      <c r="C941" s="45"/>
      <c r="D941" s="45"/>
      <c r="E941" s="45"/>
      <c r="F941" s="45"/>
    </row>
    <row r="942" spans="3:6" ht="15.75" customHeight="1" x14ac:dyDescent="0.2">
      <c r="C942" s="45"/>
      <c r="D942" s="45"/>
      <c r="E942" s="45"/>
      <c r="F942" s="45"/>
    </row>
    <row r="943" spans="3:6" ht="15.75" customHeight="1" x14ac:dyDescent="0.2">
      <c r="C943" s="45"/>
      <c r="D943" s="45"/>
      <c r="E943" s="45"/>
      <c r="F943" s="45"/>
    </row>
    <row r="944" spans="3:6" ht="15.75" customHeight="1" x14ac:dyDescent="0.2">
      <c r="C944" s="45"/>
      <c r="D944" s="45"/>
      <c r="E944" s="45"/>
      <c r="F944" s="45"/>
    </row>
    <row r="945" spans="3:6" ht="15.75" customHeight="1" x14ac:dyDescent="0.2">
      <c r="C945" s="45"/>
      <c r="D945" s="45"/>
      <c r="E945" s="45"/>
      <c r="F945" s="45"/>
    </row>
    <row r="946" spans="3:6" ht="15.75" customHeight="1" x14ac:dyDescent="0.2">
      <c r="C946" s="45"/>
      <c r="D946" s="45"/>
      <c r="E946" s="45"/>
      <c r="F946" s="45"/>
    </row>
    <row r="947" spans="3:6" ht="15.75" customHeight="1" x14ac:dyDescent="0.2">
      <c r="C947" s="45"/>
      <c r="D947" s="45"/>
      <c r="E947" s="45"/>
      <c r="F947" s="45"/>
    </row>
    <row r="948" spans="3:6" ht="15.75" customHeight="1" x14ac:dyDescent="0.2">
      <c r="C948" s="45"/>
      <c r="D948" s="45"/>
      <c r="E948" s="45"/>
      <c r="F948" s="45"/>
    </row>
    <row r="949" spans="3:6" ht="15.75" customHeight="1" x14ac:dyDescent="0.2">
      <c r="C949" s="45"/>
      <c r="D949" s="45"/>
      <c r="E949" s="45"/>
      <c r="F949" s="45"/>
    </row>
    <row r="950" spans="3:6" ht="15.75" customHeight="1" x14ac:dyDescent="0.2">
      <c r="C950" s="45"/>
      <c r="D950" s="45"/>
      <c r="E950" s="45"/>
      <c r="F950" s="45"/>
    </row>
    <row r="951" spans="3:6" ht="15.75" customHeight="1" x14ac:dyDescent="0.2">
      <c r="C951" s="45"/>
      <c r="D951" s="45"/>
      <c r="E951" s="45"/>
      <c r="F951" s="45"/>
    </row>
    <row r="952" spans="3:6" ht="15.75" customHeight="1" x14ac:dyDescent="0.2">
      <c r="C952" s="45"/>
      <c r="D952" s="45"/>
      <c r="E952" s="45"/>
      <c r="F952" s="45"/>
    </row>
    <row r="953" spans="3:6" ht="15.75" customHeight="1" x14ac:dyDescent="0.2">
      <c r="C953" s="45"/>
      <c r="D953" s="45"/>
      <c r="E953" s="45"/>
      <c r="F953" s="45"/>
    </row>
    <row r="954" spans="3:6" ht="15.75" customHeight="1" x14ac:dyDescent="0.2">
      <c r="C954" s="45"/>
      <c r="D954" s="45"/>
      <c r="E954" s="45"/>
      <c r="F954" s="45"/>
    </row>
    <row r="955" spans="3:6" ht="15.75" customHeight="1" x14ac:dyDescent="0.2">
      <c r="C955" s="45"/>
      <c r="D955" s="45"/>
      <c r="E955" s="45"/>
      <c r="F955" s="45"/>
    </row>
    <row r="956" spans="3:6" ht="15.75" customHeight="1" x14ac:dyDescent="0.2">
      <c r="C956" s="45"/>
      <c r="D956" s="45"/>
      <c r="E956" s="45"/>
      <c r="F956" s="45"/>
    </row>
    <row r="957" spans="3:6" ht="15.75" customHeight="1" x14ac:dyDescent="0.2">
      <c r="C957" s="45"/>
      <c r="D957" s="45"/>
      <c r="E957" s="45"/>
      <c r="F957" s="45"/>
    </row>
    <row r="958" spans="3:6" ht="15.75" customHeight="1" x14ac:dyDescent="0.2">
      <c r="C958" s="45"/>
      <c r="D958" s="45"/>
      <c r="E958" s="45"/>
      <c r="F958" s="45"/>
    </row>
    <row r="959" spans="3:6" ht="15.75" customHeight="1" x14ac:dyDescent="0.2">
      <c r="C959" s="45"/>
      <c r="D959" s="45"/>
      <c r="E959" s="45"/>
      <c r="F959" s="45"/>
    </row>
    <row r="960" spans="3:6" ht="15.75" customHeight="1" x14ac:dyDescent="0.2">
      <c r="C960" s="45"/>
      <c r="D960" s="45"/>
      <c r="E960" s="45"/>
      <c r="F960" s="45"/>
    </row>
    <row r="961" spans="3:6" ht="15.75" customHeight="1" x14ac:dyDescent="0.2">
      <c r="C961" s="45"/>
      <c r="D961" s="45"/>
      <c r="E961" s="45"/>
      <c r="F961" s="45"/>
    </row>
    <row r="962" spans="3:6" ht="15.75" customHeight="1" x14ac:dyDescent="0.2">
      <c r="C962" s="45"/>
      <c r="D962" s="45"/>
      <c r="E962" s="45"/>
      <c r="F962" s="45"/>
    </row>
    <row r="963" spans="3:6" ht="15.75" customHeight="1" x14ac:dyDescent="0.2">
      <c r="C963" s="45"/>
      <c r="D963" s="45"/>
      <c r="E963" s="45"/>
      <c r="F963" s="45"/>
    </row>
    <row r="964" spans="3:6" ht="15.75" customHeight="1" x14ac:dyDescent="0.2">
      <c r="C964" s="45"/>
      <c r="D964" s="45"/>
      <c r="E964" s="45"/>
      <c r="F964" s="45"/>
    </row>
    <row r="965" spans="3:6" ht="15.75" customHeight="1" x14ac:dyDescent="0.2">
      <c r="C965" s="45"/>
      <c r="D965" s="45"/>
      <c r="E965" s="45"/>
      <c r="F965" s="45"/>
    </row>
    <row r="966" spans="3:6" ht="15.75" customHeight="1" x14ac:dyDescent="0.2">
      <c r="C966" s="45"/>
      <c r="D966" s="45"/>
      <c r="E966" s="45"/>
      <c r="F966" s="45"/>
    </row>
    <row r="967" spans="3:6" ht="15.75" customHeight="1" x14ac:dyDescent="0.2">
      <c r="C967" s="45"/>
      <c r="D967" s="45"/>
      <c r="E967" s="45"/>
      <c r="F967" s="45"/>
    </row>
    <row r="968" spans="3:6" ht="15.75" customHeight="1" x14ac:dyDescent="0.2">
      <c r="C968" s="45"/>
      <c r="D968" s="45"/>
      <c r="E968" s="45"/>
      <c r="F968" s="45"/>
    </row>
    <row r="969" spans="3:6" ht="15.75" customHeight="1" x14ac:dyDescent="0.2">
      <c r="C969" s="45"/>
      <c r="D969" s="45"/>
      <c r="E969" s="45"/>
      <c r="F969" s="45"/>
    </row>
    <row r="970" spans="3:6" ht="15.75" customHeight="1" x14ac:dyDescent="0.2">
      <c r="C970" s="45"/>
      <c r="D970" s="45"/>
      <c r="E970" s="45"/>
      <c r="F970" s="45"/>
    </row>
    <row r="971" spans="3:6" ht="15.75" customHeight="1" x14ac:dyDescent="0.2">
      <c r="C971" s="45"/>
      <c r="D971" s="45"/>
      <c r="E971" s="45"/>
      <c r="F971" s="45"/>
    </row>
    <row r="972" spans="3:6" ht="15.75" customHeight="1" x14ac:dyDescent="0.2">
      <c r="C972" s="45"/>
      <c r="D972" s="45"/>
      <c r="E972" s="45"/>
      <c r="F972" s="45"/>
    </row>
    <row r="973" spans="3:6" ht="15.75" customHeight="1" x14ac:dyDescent="0.2">
      <c r="C973" s="45"/>
      <c r="D973" s="45"/>
      <c r="E973" s="45"/>
      <c r="F973" s="45"/>
    </row>
    <row r="974" spans="3:6" ht="15.75" customHeight="1" x14ac:dyDescent="0.2">
      <c r="C974" s="45"/>
      <c r="D974" s="45"/>
      <c r="E974" s="45"/>
      <c r="F974" s="45"/>
    </row>
    <row r="975" spans="3:6" ht="15.75" customHeight="1" x14ac:dyDescent="0.2">
      <c r="C975" s="45"/>
      <c r="D975" s="45"/>
      <c r="E975" s="45"/>
      <c r="F975" s="45"/>
    </row>
    <row r="976" spans="3:6" ht="15.75" customHeight="1" x14ac:dyDescent="0.2">
      <c r="C976" s="45"/>
      <c r="D976" s="45"/>
      <c r="E976" s="45"/>
      <c r="F976" s="45"/>
    </row>
    <row r="977" spans="3:6" ht="15.75" customHeight="1" x14ac:dyDescent="0.2">
      <c r="C977" s="45"/>
      <c r="D977" s="45"/>
      <c r="E977" s="45"/>
      <c r="F977" s="45"/>
    </row>
    <row r="978" spans="3:6" ht="15.75" customHeight="1" x14ac:dyDescent="0.2">
      <c r="C978" s="45"/>
      <c r="D978" s="45"/>
      <c r="E978" s="45"/>
      <c r="F978" s="45"/>
    </row>
    <row r="979" spans="3:6" ht="15.75" customHeight="1" x14ac:dyDescent="0.2">
      <c r="C979" s="45"/>
      <c r="D979" s="45"/>
      <c r="E979" s="45"/>
      <c r="F979" s="45"/>
    </row>
    <row r="980" spans="3:6" ht="15.75" customHeight="1" x14ac:dyDescent="0.2">
      <c r="C980" s="45"/>
      <c r="D980" s="45"/>
      <c r="E980" s="45"/>
      <c r="F980" s="45"/>
    </row>
    <row r="981" spans="3:6" ht="15.75" customHeight="1" x14ac:dyDescent="0.2">
      <c r="C981" s="45"/>
      <c r="D981" s="45"/>
      <c r="E981" s="45"/>
      <c r="F981" s="45"/>
    </row>
    <row r="982" spans="3:6" ht="15.75" customHeight="1" x14ac:dyDescent="0.2">
      <c r="C982" s="45"/>
      <c r="D982" s="45"/>
      <c r="E982" s="45"/>
      <c r="F982" s="45"/>
    </row>
    <row r="983" spans="3:6" ht="15.75" customHeight="1" x14ac:dyDescent="0.2">
      <c r="C983" s="45"/>
      <c r="D983" s="45"/>
      <c r="E983" s="45"/>
      <c r="F983" s="45"/>
    </row>
    <row r="984" spans="3:6" ht="15.75" customHeight="1" x14ac:dyDescent="0.2">
      <c r="C984" s="45"/>
      <c r="D984" s="45"/>
      <c r="E984" s="45"/>
      <c r="F984" s="45"/>
    </row>
    <row r="985" spans="3:6" ht="15.75" customHeight="1" x14ac:dyDescent="0.2">
      <c r="C985" s="45"/>
      <c r="D985" s="45"/>
      <c r="E985" s="45"/>
      <c r="F985" s="45"/>
    </row>
    <row r="986" spans="3:6" ht="15.75" customHeight="1" x14ac:dyDescent="0.2">
      <c r="C986" s="45"/>
      <c r="D986" s="45"/>
      <c r="E986" s="45"/>
      <c r="F986" s="45"/>
    </row>
    <row r="987" spans="3:6" ht="15.75" customHeight="1" x14ac:dyDescent="0.2">
      <c r="C987" s="45"/>
      <c r="D987" s="45"/>
      <c r="E987" s="45"/>
      <c r="F987" s="45"/>
    </row>
    <row r="988" spans="3:6" ht="15.75" customHeight="1" x14ac:dyDescent="0.2">
      <c r="C988" s="45"/>
      <c r="D988" s="45"/>
      <c r="E988" s="45"/>
      <c r="F988" s="45"/>
    </row>
    <row r="989" spans="3:6" ht="15.75" customHeight="1" x14ac:dyDescent="0.2">
      <c r="C989" s="45"/>
      <c r="D989" s="45"/>
      <c r="E989" s="45"/>
      <c r="F989" s="45"/>
    </row>
    <row r="990" spans="3:6" ht="15.75" customHeight="1" x14ac:dyDescent="0.2">
      <c r="C990" s="45"/>
      <c r="D990" s="45"/>
      <c r="E990" s="45"/>
      <c r="F990" s="45"/>
    </row>
    <row r="991" spans="3:6" ht="15.75" customHeight="1" x14ac:dyDescent="0.2">
      <c r="C991" s="45"/>
      <c r="D991" s="45"/>
      <c r="E991" s="45"/>
      <c r="F991" s="45"/>
    </row>
    <row r="992" spans="3:6" ht="15.75" customHeight="1" x14ac:dyDescent="0.2">
      <c r="C992" s="45"/>
      <c r="D992" s="45"/>
      <c r="E992" s="45"/>
      <c r="F992" s="45"/>
    </row>
    <row r="993" spans="3:6" ht="15.75" customHeight="1" x14ac:dyDescent="0.2">
      <c r="C993" s="45"/>
      <c r="D993" s="45"/>
      <c r="E993" s="45"/>
      <c r="F993" s="45"/>
    </row>
    <row r="994" spans="3:6" ht="15.75" customHeight="1" x14ac:dyDescent="0.2">
      <c r="C994" s="45"/>
      <c r="D994" s="45"/>
      <c r="E994" s="45"/>
      <c r="F994" s="45"/>
    </row>
    <row r="995" spans="3:6" ht="15.75" customHeight="1" x14ac:dyDescent="0.2">
      <c r="C995" s="45"/>
      <c r="D995" s="45"/>
      <c r="E995" s="45"/>
      <c r="F995" s="45"/>
    </row>
    <row r="996" spans="3:6" ht="15.75" customHeight="1" x14ac:dyDescent="0.2">
      <c r="C996" s="45"/>
      <c r="D996" s="45"/>
      <c r="E996" s="45"/>
      <c r="F996" s="45"/>
    </row>
    <row r="997" spans="3:6" ht="15.75" customHeight="1" x14ac:dyDescent="0.2">
      <c r="C997" s="45"/>
      <c r="D997" s="45"/>
      <c r="E997" s="45"/>
      <c r="F997" s="45"/>
    </row>
    <row r="998" spans="3:6" ht="15.75" customHeight="1" x14ac:dyDescent="0.2">
      <c r="C998" s="45"/>
      <c r="D998" s="45"/>
      <c r="E998" s="45"/>
      <c r="F998" s="45"/>
    </row>
    <row r="999" spans="3:6" ht="15.75" customHeight="1" x14ac:dyDescent="0.2">
      <c r="C999" s="45"/>
      <c r="D999" s="45"/>
      <c r="E999" s="45"/>
      <c r="F999" s="45"/>
    </row>
  </sheetData>
  <sheetProtection algorithmName="SHA-512" hashValue="PgqHbcsvazmftqdwcOjM6UPCdKFfeNjEWHanD1VHaPDt9cWzZXefwQLGOj6eZUMAn209rUJvRi7/x8GUx/BhQg==" saltValue="ieSFPAbXUxOdK1D5eLXLmQ==" spinCount="100000" sheet="1" objects="1" scenarios="1" selectLockedCells="1"/>
  <mergeCells count="3">
    <mergeCell ref="A1:F1"/>
    <mergeCell ref="B13:C13"/>
    <mergeCell ref="D13:E13"/>
  </mergeCells>
  <pageMargins left="0.74803149606299213" right="0.74803149606299213" top="0.39370078740157483" bottom="0.39370078740157483" header="0.98425196850393704" footer="0.98425196850393704"/>
  <pageSetup paperSize="9" fitToWidth="0" fitToHeight="0" orientation="landscape" r:id="rId1"/>
  <headerFooter alignWithMargins="0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35"/>
  <sheetViews>
    <sheetView showGridLines="0" showRowColHeaders="0" zoomScaleNormal="100" workbookViewId="0">
      <selection activeCell="A3" sqref="A3"/>
    </sheetView>
  </sheetViews>
  <sheetFormatPr defaultColWidth="13.42578125" defaultRowHeight="15" customHeight="1" outlineLevelCol="1" x14ac:dyDescent="0.2"/>
  <cols>
    <col min="1" max="1" width="25.5703125" style="49" customWidth="1"/>
    <col min="2" max="2" width="24.140625" style="49" customWidth="1"/>
    <col min="3" max="3" width="38.85546875" style="49" customWidth="1"/>
    <col min="4" max="4" width="52.85546875" style="49" customWidth="1"/>
    <col min="5" max="5" width="13.42578125" style="17"/>
    <col min="6" max="6" width="13.42578125" style="17" hidden="1" customWidth="1" outlineLevel="1"/>
    <col min="7" max="7" width="21.28515625" style="17" hidden="1" customWidth="1" outlineLevel="1"/>
    <col min="8" max="8" width="13.7109375" style="19" hidden="1" customWidth="1" outlineLevel="1"/>
    <col min="9" max="9" width="14" style="17" customWidth="1" collapsed="1"/>
    <col min="10" max="11" width="15" style="17" customWidth="1"/>
    <col min="12" max="14" width="12.42578125" style="17" customWidth="1"/>
    <col min="15" max="16384" width="13.42578125" style="17"/>
  </cols>
  <sheetData>
    <row r="1" spans="1:15" ht="39.950000000000003" customHeight="1" x14ac:dyDescent="0.2">
      <c r="A1" s="50" t="s">
        <v>6</v>
      </c>
      <c r="B1" s="51"/>
      <c r="C1" s="51"/>
      <c r="D1" s="52"/>
      <c r="G1" s="24"/>
      <c r="H1" s="48"/>
      <c r="I1" s="24"/>
      <c r="J1" s="24"/>
      <c r="K1" s="24"/>
      <c r="L1" s="24"/>
      <c r="M1" s="24"/>
      <c r="N1" s="24"/>
    </row>
    <row r="2" spans="1:15" ht="33" customHeight="1" x14ac:dyDescent="0.2">
      <c r="A2" s="53" t="s">
        <v>0</v>
      </c>
      <c r="B2" s="54" t="s">
        <v>1</v>
      </c>
      <c r="C2" s="54" t="s">
        <v>4</v>
      </c>
      <c r="D2" s="55" t="s">
        <v>5</v>
      </c>
      <c r="F2" s="24" t="s">
        <v>12</v>
      </c>
      <c r="G2" s="24" t="s">
        <v>7</v>
      </c>
      <c r="H2" s="48" t="s">
        <v>35</v>
      </c>
      <c r="N2" s="24"/>
      <c r="O2" s="24"/>
    </row>
    <row r="3" spans="1:15" ht="36.75" customHeight="1" x14ac:dyDescent="0.2">
      <c r="A3" s="4"/>
      <c r="B3" s="5"/>
      <c r="C3" s="7" t="str">
        <f>IF('Prisma luxo'!$A3&lt;&gt;"",ROUNDUP((('Prisma luxo'!$B3/Peças_inj)*Tempo_ciclo)/3600,0)&amp;" horas","")</f>
        <v/>
      </c>
      <c r="D3" s="56" t="str">
        <f>IF('Prisma luxo'!$A3&lt;&gt;"",F3&amp;"kg "&amp;Material&amp;" + "&amp;ROUNDUP(F3*Conc_pig,2)&amp;"kg pigmento","")</f>
        <v/>
      </c>
      <c r="F3" s="24">
        <f>(ROUNDUP(('Prisma luxo'!B3/Peças_inj)*Peso_inj,1))*1.1</f>
        <v>0</v>
      </c>
      <c r="G3" s="24">
        <f>Constantes!B4</f>
        <v>0.114</v>
      </c>
      <c r="H3" s="19">
        <f>ROUNDUP(((Tabela4[[#This Row],[Quantidade]]*Tempo_ciclo)/Peças_inj)/3600,0)</f>
        <v>0</v>
      </c>
      <c r="N3" s="24"/>
    </row>
    <row r="4" spans="1:15" ht="36.75" customHeight="1" x14ac:dyDescent="0.2">
      <c r="A4" s="6"/>
      <c r="B4" s="11"/>
      <c r="C4" s="57" t="str">
        <f>IF('Prisma luxo'!$A4&lt;&gt;"",ROUNDUP((('Prisma luxo'!$B4/Peças_inj)*Tempo_ciclo)/3600,0)&amp;" horas","")</f>
        <v/>
      </c>
      <c r="D4" s="58" t="str">
        <f>IF('Prisma luxo'!$A4&lt;&gt;"",F4&amp;"kg "&amp;Material&amp;" + "&amp;ROUNDUP(F4*Conc_pig,2)&amp;"kg pigmento","")</f>
        <v/>
      </c>
      <c r="F4" s="24">
        <f>(ROUNDUP(('Prisma luxo'!B4/Peças_inj)*Peso_inj,1))*1.1</f>
        <v>0</v>
      </c>
      <c r="G4" s="24" t="s">
        <v>8</v>
      </c>
      <c r="H4" s="19">
        <f>ROUNDUP(((Tabela4[[#This Row],[Quantidade]]*Tempo_ciclo)/Peças_inj)/3600,0)</f>
        <v>0</v>
      </c>
      <c r="I4" s="24"/>
      <c r="J4" s="24"/>
      <c r="K4" s="24"/>
      <c r="N4" s="24"/>
    </row>
    <row r="5" spans="1:15" ht="36.75" customHeight="1" x14ac:dyDescent="0.2">
      <c r="A5" s="6"/>
      <c r="B5" s="11"/>
      <c r="C5" s="57" t="str">
        <f>IF('Prisma luxo'!$A5&lt;&gt;"",ROUNDUP((('Prisma luxo'!$B5/Peças_inj)*Tempo_ciclo)/3600,0)&amp;" horas","")</f>
        <v/>
      </c>
      <c r="D5" s="58" t="str">
        <f>IF('Prisma luxo'!$A5&lt;&gt;"",F5&amp;"kg "&amp;Material&amp;" + "&amp;ROUNDUP(F5*Conc_pig,2)&amp;"kg pigmento","")</f>
        <v/>
      </c>
      <c r="F5" s="24">
        <f>(ROUNDUP(('Prisma luxo'!B5/Peças_inj)*Peso_inj,1))*1.1</f>
        <v>0</v>
      </c>
      <c r="G5" s="24">
        <f>Constantes!C4</f>
        <v>1</v>
      </c>
      <c r="H5" s="19">
        <f>ROUNDUP(((Tabela4[[#This Row],[Quantidade]]*Tempo_ciclo)/Peças_inj)/3600,0)</f>
        <v>0</v>
      </c>
      <c r="I5" s="24"/>
      <c r="J5" s="24"/>
      <c r="K5" s="24"/>
      <c r="N5" s="24"/>
    </row>
    <row r="6" spans="1:15" ht="36.75" customHeight="1" x14ac:dyDescent="0.2">
      <c r="A6" s="6"/>
      <c r="B6" s="11"/>
      <c r="C6" s="57" t="str">
        <f>IF('Prisma luxo'!$A6&lt;&gt;"",ROUNDUP((('Prisma luxo'!$B6/Peças_inj)*Tempo_ciclo)/3600,0)&amp;" horas","")</f>
        <v/>
      </c>
      <c r="D6" s="58" t="str">
        <f>IF('Prisma luxo'!$A6&lt;&gt;"",F6&amp;"kg "&amp;Material&amp;" + "&amp;ROUNDUP(F6*Conc_pig,2)&amp;"kg pigmento","")</f>
        <v/>
      </c>
      <c r="F6" s="24">
        <f>(ROUNDUP(('Prisma luxo'!B6/Peças_inj)*Peso_inj,1))*1.1</f>
        <v>0</v>
      </c>
      <c r="G6" s="24" t="s">
        <v>9</v>
      </c>
      <c r="H6" s="19">
        <f>ROUNDUP(((Tabela4[[#This Row],[Quantidade]]*Tempo_ciclo)/Peças_inj)/3600,0)</f>
        <v>0</v>
      </c>
      <c r="I6" s="24"/>
      <c r="J6" s="24"/>
      <c r="K6" s="24"/>
      <c r="N6" s="24"/>
    </row>
    <row r="7" spans="1:15" ht="36.75" customHeight="1" x14ac:dyDescent="0.2">
      <c r="A7" s="6"/>
      <c r="B7" s="11"/>
      <c r="C7" s="57" t="str">
        <f>IF('Prisma luxo'!$A7&lt;&gt;"",ROUNDUP((('Prisma luxo'!$B7/Peças_inj)*Tempo_ciclo)/3600,0)&amp;" horas","")</f>
        <v/>
      </c>
      <c r="D7" s="58" t="str">
        <f>IF('Prisma luxo'!$A7&lt;&gt;"",F7&amp;"kg "&amp;Material&amp;" + "&amp;ROUNDUP(F7*Conc_pig,2)&amp;"kg pigmento","")</f>
        <v/>
      </c>
      <c r="F7" s="24">
        <f>(ROUNDUP(('Prisma luxo'!B7/Peças_inj)*Peso_inj,1))*1.1</f>
        <v>0</v>
      </c>
      <c r="G7" s="24">
        <f>Constantes!D4</f>
        <v>30</v>
      </c>
      <c r="H7" s="19">
        <f>ROUNDUP(((Tabela4[[#This Row],[Quantidade]]*Tempo_ciclo)/Peças_inj)/3600,0)</f>
        <v>0</v>
      </c>
      <c r="I7" s="24"/>
      <c r="J7" s="24"/>
      <c r="K7" s="24"/>
      <c r="N7" s="24"/>
    </row>
    <row r="8" spans="1:15" ht="36.75" customHeight="1" x14ac:dyDescent="0.2">
      <c r="A8" s="6"/>
      <c r="B8" s="11"/>
      <c r="C8" s="57" t="str">
        <f>IF('Prisma luxo'!$A8&lt;&gt;"",ROUNDUP((('Prisma luxo'!$B8/Peças_inj)*Tempo_ciclo)/3600,0)&amp;" horas","")</f>
        <v/>
      </c>
      <c r="D8" s="58" t="str">
        <f>IF('Prisma luxo'!$A8&lt;&gt;"",F8&amp;"kg "&amp;Material&amp;" + "&amp;ROUNDUP(F8*Conc_pig,2)&amp;"kg pigmento","")</f>
        <v/>
      </c>
      <c r="F8" s="24">
        <f>(ROUNDUP(('Prisma luxo'!B8/Peças_inj)*Peso_inj,1))*1.1</f>
        <v>0</v>
      </c>
      <c r="G8" s="24" t="s">
        <v>5</v>
      </c>
      <c r="H8" s="19">
        <f>ROUNDUP(((Tabela4[[#This Row],[Quantidade]]*Tempo_ciclo)/Peças_inj)/3600,0)</f>
        <v>0</v>
      </c>
      <c r="I8" s="24"/>
      <c r="J8" s="24"/>
      <c r="K8" s="24"/>
      <c r="N8" s="24"/>
    </row>
    <row r="9" spans="1:15" ht="36.75" customHeight="1" x14ac:dyDescent="0.2">
      <c r="A9" s="6"/>
      <c r="B9" s="11"/>
      <c r="C9" s="57" t="str">
        <f>IF('Prisma luxo'!$A9&lt;&gt;"",ROUNDUP((('Prisma luxo'!$B9/Peças_inj)*Tempo_ciclo)/3600,0)&amp;" horas","")</f>
        <v/>
      </c>
      <c r="D9" s="58" t="str">
        <f>IF('Prisma luxo'!$A9&lt;&gt;"",F9&amp;"kg "&amp;Material&amp;" + "&amp;ROUNDUP(F9*Conc_pig,2)&amp;"kg pigmento","")</f>
        <v/>
      </c>
      <c r="F9" s="24">
        <f>(ROUNDUP(('Prisma luxo'!B9/Peças_inj)*Peso_inj,1))*1.1</f>
        <v>0</v>
      </c>
      <c r="G9" s="24" t="str">
        <f>Constantes!E4</f>
        <v>PS</v>
      </c>
      <c r="H9" s="19">
        <f>ROUNDUP(((Tabela4[[#This Row],[Quantidade]]*Tempo_ciclo)/Peças_inj)/3600,0)</f>
        <v>0</v>
      </c>
      <c r="I9" s="24"/>
      <c r="J9" s="24"/>
      <c r="K9" s="24"/>
      <c r="N9" s="24"/>
    </row>
    <row r="10" spans="1:15" ht="36.75" customHeight="1" x14ac:dyDescent="0.2">
      <c r="A10" s="6"/>
      <c r="B10" s="11"/>
      <c r="C10" s="57" t="str">
        <f>IF('Prisma luxo'!$A10&lt;&gt;"",ROUNDUP((('Prisma luxo'!$B10/Peças_inj)*Tempo_ciclo)/3600,0)&amp;" horas","")</f>
        <v/>
      </c>
      <c r="D10" s="58" t="str">
        <f>IF('Prisma luxo'!$A10&lt;&gt;"",F10&amp;"kg "&amp;Material&amp;" + "&amp;ROUNDUP(F10*Conc_pig,2)&amp;"kg pigmento","")</f>
        <v/>
      </c>
      <c r="F10" s="24">
        <f>(ROUNDUP(('Prisma luxo'!B10/Peças_inj)*Peso_inj,1))*1.1</f>
        <v>0</v>
      </c>
      <c r="G10" s="24" t="s">
        <v>10</v>
      </c>
      <c r="H10" s="19">
        <f>ROUNDUP(((Tabela4[[#This Row],[Quantidade]]*Tempo_ciclo)/Peças_inj)/3600,0)</f>
        <v>0</v>
      </c>
      <c r="I10" s="24"/>
      <c r="J10" s="24"/>
      <c r="K10" s="24"/>
      <c r="N10" s="24"/>
    </row>
    <row r="11" spans="1:15" ht="36.75" customHeight="1" x14ac:dyDescent="0.2">
      <c r="A11" s="6"/>
      <c r="B11" s="11"/>
      <c r="C11" s="57" t="str">
        <f>IF('Prisma luxo'!$A11&lt;&gt;"",ROUNDUP((('Prisma luxo'!$B11/Peças_inj)*Tempo_ciclo)/3600,0)&amp;" horas","")</f>
        <v/>
      </c>
      <c r="D11" s="58" t="str">
        <f>IF('Prisma luxo'!$A11&lt;&gt;"",F11&amp;"kg "&amp;Material&amp;" + "&amp;ROUNDUP(F11*Conc_pig,2)&amp;"kg pigmento","")</f>
        <v/>
      </c>
      <c r="F11" s="24">
        <f>(ROUNDUP(('Prisma luxo'!B11/Peças_inj)*Peso_inj,1))*1.1</f>
        <v>0</v>
      </c>
      <c r="G11" s="24">
        <f>Constantes!F4</f>
        <v>1</v>
      </c>
      <c r="H11" s="19">
        <f>ROUNDUP(((Tabela4[[#This Row],[Quantidade]]*Tempo_ciclo)/Peças_inj)/3600,0)</f>
        <v>0</v>
      </c>
      <c r="I11" s="24"/>
      <c r="J11" s="24"/>
      <c r="K11" s="24"/>
      <c r="N11" s="24"/>
    </row>
    <row r="12" spans="1:15" ht="36.75" customHeight="1" x14ac:dyDescent="0.2">
      <c r="A12" s="12"/>
      <c r="B12" s="11"/>
      <c r="C12" s="59" t="str">
        <f>IF('Prisma luxo'!$A12&lt;&gt;"",ROUNDUP((('Prisma luxo'!$B12/Peças_inj)*Tempo_ciclo)/3600,0)&amp;" horas","")</f>
        <v/>
      </c>
      <c r="D12" s="60" t="str">
        <f>IF('Prisma luxo'!$A12&lt;&gt;"",F12&amp;"kg "&amp;Material&amp;" + "&amp;ROUNDUP(F12*Conc_pig,2)&amp;"kg pigmento","")</f>
        <v/>
      </c>
      <c r="F12" s="24">
        <f>(ROUNDUP(('Prisma luxo'!B12/Peças_inj)*Peso_inj,1))*1.1</f>
        <v>0</v>
      </c>
      <c r="G12" s="24" t="str">
        <f>Constantes!$G$1</f>
        <v>% de pigmento</v>
      </c>
      <c r="H12" s="19">
        <f>ROUNDUP(((Tabela4[[#This Row],[Quantidade]]*Tempo_ciclo)/Peças_inj)/3600,0)</f>
        <v>0</v>
      </c>
      <c r="I12" s="24"/>
      <c r="J12" s="24"/>
      <c r="K12" s="24"/>
      <c r="N12" s="24"/>
    </row>
    <row r="13" spans="1:15" ht="36.75" customHeight="1" x14ac:dyDescent="0.2">
      <c r="A13" s="33" t="s">
        <v>31</v>
      </c>
      <c r="B13" s="61" t="str">
        <f>"PEÇAS: "&amp;SUM(B3:B12)</f>
        <v>PEÇAS: 0</v>
      </c>
      <c r="C13" s="62" t="str">
        <f>"TEMPO: "&amp;IF(SUM(TempoProd) &lt; 10,SUM(TempoProd)&amp;" HORAS",ROUNDDOWN(SUM(TempoProd)/10,0)&amp;" DIA(S) E "&amp;MOD(SUM(TempoProd),10) &amp;" HORAS")</f>
        <v>TEMPO: 0 HORAS</v>
      </c>
      <c r="D13" s="37" t="str">
        <f>"MATERIAL: "&amp;SUM(F3:F12)&amp;"kg de "&amp;Material</f>
        <v>MATERIAL: 0kg de PS</v>
      </c>
      <c r="F13" s="24"/>
      <c r="G13" s="29">
        <f>Constantes!$G$4</f>
        <v>1.7999999999999999E-2</v>
      </c>
      <c r="I13" s="24"/>
      <c r="J13" s="24"/>
      <c r="K13" s="24"/>
      <c r="N13" s="24"/>
    </row>
    <row r="14" spans="1:15" ht="36.75" customHeight="1" x14ac:dyDescent="0.2">
      <c r="F14" s="24"/>
      <c r="G14" s="24"/>
      <c r="I14" s="24"/>
      <c r="J14" s="24"/>
      <c r="K14" s="24"/>
      <c r="N14" s="24"/>
    </row>
    <row r="15" spans="1:15" ht="36.75" customHeight="1" x14ac:dyDescent="0.2">
      <c r="A15" s="17"/>
      <c r="B15" s="17"/>
      <c r="C15" s="17"/>
      <c r="D15" s="17"/>
      <c r="F15" s="24"/>
      <c r="G15" s="24"/>
      <c r="I15" s="24"/>
      <c r="J15" s="24"/>
      <c r="K15" s="24"/>
      <c r="N15" s="24"/>
    </row>
    <row r="16" spans="1:15" ht="36.75" customHeight="1" x14ac:dyDescent="0.2">
      <c r="A16" s="44"/>
      <c r="B16" s="44"/>
      <c r="C16" s="44"/>
      <c r="D16" s="44"/>
      <c r="E16" s="44" t="str">
        <f>IF('Prisma luxo'!$A18&lt;&gt;"",F18&amp;"kg "&amp;Material&amp;" + "&amp;ROUNDUP(F18*Conc_pig,2)&amp;"kg pigmento","")</f>
        <v/>
      </c>
      <c r="F16" s="24"/>
      <c r="G16" s="24"/>
      <c r="I16" s="24"/>
      <c r="J16" s="24"/>
      <c r="K16" s="24"/>
      <c r="N16" s="24"/>
    </row>
    <row r="17" spans="1:14" ht="36.75" customHeight="1" x14ac:dyDescent="0.2">
      <c r="A17" s="44"/>
      <c r="B17" s="44"/>
      <c r="C17" s="44"/>
      <c r="D17" s="44"/>
      <c r="F17" s="24"/>
      <c r="G17" s="24"/>
      <c r="I17" s="24"/>
      <c r="J17" s="24"/>
      <c r="K17" s="24"/>
      <c r="L17" s="24"/>
      <c r="M17" s="24"/>
      <c r="N17" s="24"/>
    </row>
    <row r="18" spans="1:14" ht="36.75" customHeight="1" x14ac:dyDescent="0.2">
      <c r="A18" s="44"/>
      <c r="B18" s="44"/>
      <c r="C18" s="44"/>
      <c r="D18" s="44"/>
      <c r="F18" s="24"/>
      <c r="G18" s="24"/>
      <c r="I18" s="24"/>
      <c r="J18" s="24"/>
      <c r="K18" s="24"/>
      <c r="L18" s="24"/>
      <c r="M18" s="24"/>
      <c r="N18" s="24"/>
    </row>
    <row r="19" spans="1:14" ht="26.25" customHeight="1" x14ac:dyDescent="0.2">
      <c r="G19" s="24"/>
      <c r="H19" s="48"/>
      <c r="I19" s="24"/>
      <c r="J19" s="24"/>
      <c r="K19" s="24"/>
      <c r="L19" s="24"/>
      <c r="M19" s="24"/>
      <c r="N19" s="24"/>
    </row>
    <row r="20" spans="1:14" ht="26.25" customHeight="1" x14ac:dyDescent="0.2">
      <c r="B20" s="45"/>
      <c r="C20" s="45" t="str">
        <f>IF(B20&lt;&gt;"",ROUNDUP(H7,0)&amp;" horas","")</f>
        <v/>
      </c>
      <c r="D20" s="44" t="str">
        <f>IF('Prisma luxo'!$A20&lt;&gt;"",F20&amp;"kg "&amp;Material&amp;" + "&amp;ROUNDUP(F20*Conc_pig,2)&amp;"kg pigmento","")</f>
        <v/>
      </c>
      <c r="G20" s="24"/>
      <c r="H20" s="48"/>
      <c r="I20" s="24"/>
      <c r="J20" s="24"/>
      <c r="K20" s="24"/>
      <c r="L20" s="24"/>
      <c r="M20" s="24"/>
      <c r="N20" s="24"/>
    </row>
    <row r="21" spans="1:14" ht="26.25" customHeight="1" x14ac:dyDescent="0.2">
      <c r="B21" s="45"/>
      <c r="C21" s="45"/>
      <c r="D21" s="44" t="str">
        <f>IF('Prisma luxo'!$A21&lt;&gt;"",F21&amp;"kg "&amp;Material&amp;" + "&amp;ROUNDUP(F21*Conc_pig,2)&amp;"kg pigmento","")</f>
        <v/>
      </c>
      <c r="G21" s="24"/>
      <c r="H21" s="48"/>
      <c r="I21" s="24"/>
      <c r="J21" s="24"/>
      <c r="K21" s="24"/>
      <c r="L21" s="24"/>
      <c r="M21" s="24"/>
      <c r="N21" s="24"/>
    </row>
    <row r="22" spans="1:14" ht="32.25" customHeight="1" x14ac:dyDescent="0.2">
      <c r="G22" s="24"/>
      <c r="H22" s="48"/>
      <c r="I22" s="24"/>
      <c r="J22" s="24"/>
      <c r="K22" s="24"/>
      <c r="L22" s="24"/>
      <c r="M22" s="24"/>
      <c r="N22" s="24"/>
    </row>
    <row r="23" spans="1:14" ht="13.5" customHeight="1" x14ac:dyDescent="0.2">
      <c r="B23" s="45"/>
      <c r="C23" s="45"/>
      <c r="D23" s="44" t="str">
        <f>IF('Prisma luxo'!$A23&lt;&gt;"",F23&amp;"kg "&amp;Material&amp;" + "&amp;ROUNDUP(F23*Conc_pig,2)&amp;"kg pigmento","")</f>
        <v/>
      </c>
    </row>
    <row r="24" spans="1:14" ht="15" customHeight="1" x14ac:dyDescent="0.2">
      <c r="B24" s="45"/>
      <c r="C24" s="45"/>
      <c r="D24" s="44" t="str">
        <f>IF('Prisma luxo'!$A24&lt;&gt;"",F24&amp;"kg "&amp;Material&amp;" + "&amp;ROUNDUP(F24*Conc_pig,2)&amp;"kg pigmento","")</f>
        <v/>
      </c>
    </row>
    <row r="25" spans="1:14" ht="15" customHeight="1" x14ac:dyDescent="0.2">
      <c r="B25" s="45"/>
      <c r="C25" s="45"/>
      <c r="D25" s="44" t="str">
        <f>IF('Prisma luxo'!$A25&lt;&gt;"",F25&amp;"kg "&amp;Material&amp;" + "&amp;ROUNDUP(F25*Conc_pig,2)&amp;"kg pigmento","")</f>
        <v/>
      </c>
    </row>
    <row r="26" spans="1:14" ht="15" customHeight="1" x14ac:dyDescent="0.2">
      <c r="B26" s="45"/>
      <c r="C26" s="45"/>
      <c r="D26" s="44" t="str">
        <f>IF('Prisma luxo'!$A26&lt;&gt;"",F26&amp;"kg "&amp;Material&amp;" + "&amp;ROUNDUP(F26*Conc_pig,2)&amp;"kg pigmento","")</f>
        <v/>
      </c>
    </row>
    <row r="27" spans="1:14" ht="15" customHeight="1" x14ac:dyDescent="0.2">
      <c r="B27" s="45"/>
      <c r="C27" s="45"/>
      <c r="D27" s="44" t="str">
        <f>IF('Prisma luxo'!$A27&lt;&gt;"",F27&amp;"kg "&amp;Material&amp;" + "&amp;ROUNDUP(F27*Conc_pig,2)&amp;"kg pigmento","")</f>
        <v/>
      </c>
    </row>
    <row r="28" spans="1:14" ht="15" customHeight="1" x14ac:dyDescent="0.2">
      <c r="B28" s="45"/>
      <c r="C28" s="45"/>
      <c r="D28" s="44" t="str">
        <f>IF('Prisma luxo'!$A28&lt;&gt;"",F28&amp;"kg "&amp;Material&amp;" + "&amp;ROUNDUP(F28*Conc_pig,2)&amp;"kg pigmento","")</f>
        <v/>
      </c>
    </row>
    <row r="29" spans="1:14" ht="15" customHeight="1" x14ac:dyDescent="0.2">
      <c r="B29" s="45"/>
      <c r="C29" s="45"/>
      <c r="D29" s="44" t="str">
        <f>IF('Prisma luxo'!$A29&lt;&gt;"",F29&amp;"kg "&amp;Material&amp;" + "&amp;ROUNDUP(F29*Conc_pig,2)&amp;"kg pigmento","")</f>
        <v/>
      </c>
    </row>
    <row r="30" spans="1:14" ht="15" customHeight="1" x14ac:dyDescent="0.2">
      <c r="B30" s="45"/>
      <c r="C30" s="45"/>
      <c r="D30" s="44" t="str">
        <f>IF('Prisma luxo'!$A30&lt;&gt;"",F30&amp;"kg "&amp;Material&amp;" + "&amp;ROUNDUP(F30*Conc_pig,2)&amp;"kg pigmento","")</f>
        <v/>
      </c>
    </row>
    <row r="31" spans="1:14" ht="15" customHeight="1" x14ac:dyDescent="0.2">
      <c r="B31" s="45"/>
      <c r="C31" s="45"/>
      <c r="D31" s="44" t="str">
        <f>IF('Prisma luxo'!$A31&lt;&gt;"",F31&amp;"kg "&amp;Material&amp;" + "&amp;ROUNDUP(F31*Conc_pig,2)&amp;"kg pigmento","")</f>
        <v/>
      </c>
    </row>
    <row r="32" spans="1:14" ht="15" customHeight="1" x14ac:dyDescent="0.2">
      <c r="B32" s="45"/>
      <c r="C32" s="45" t="str">
        <f>IF(B32&lt;&gt;"",ROUNDUP(H20,0)&amp;" horas","")</f>
        <v/>
      </c>
      <c r="D32" s="44" t="str">
        <f>IF('Prisma luxo'!$A32&lt;&gt;"",F32&amp;"kg "&amp;Material&amp;" + "&amp;ROUNDUP(F32*Conc_pig,2)&amp;"kg pigmento","")</f>
        <v/>
      </c>
    </row>
    <row r="33" spans="2:4" ht="15" customHeight="1" x14ac:dyDescent="0.2">
      <c r="B33" s="45"/>
      <c r="C33" s="45" t="str">
        <f>IF(B33&lt;&gt;"",ROUNDUP(H21,0)&amp;" horas","")</f>
        <v/>
      </c>
      <c r="D33" s="44" t="str">
        <f>IF('Prisma luxo'!$A33&lt;&gt;"",F33&amp;"kg "&amp;Material&amp;" + "&amp;ROUNDUP(F33*Conc_pig,2)&amp;"kg pigmento","")</f>
        <v/>
      </c>
    </row>
    <row r="34" spans="2:4" ht="15" customHeight="1" x14ac:dyDescent="0.2">
      <c r="B34" s="45"/>
      <c r="C34" s="45" t="str">
        <f>IF(B34&lt;&gt;"",ROUNDUP(H22,0)&amp;" horas","")</f>
        <v/>
      </c>
      <c r="D34" s="44" t="str">
        <f>IF('Prisma luxo'!$A34&lt;&gt;"",F34&amp;"kg "&amp;Material&amp;" + "&amp;ROUNDUP(F34*Conc_pig,2)&amp;"kg pigmento","")</f>
        <v/>
      </c>
    </row>
    <row r="35" spans="2:4" ht="15" customHeight="1" x14ac:dyDescent="0.2">
      <c r="B35" s="45"/>
      <c r="C35" s="45" t="str">
        <f>IF(B35&lt;&gt;"",ROUND(K23,0)&amp;" horas","")</f>
        <v/>
      </c>
      <c r="D35" s="44" t="str">
        <f>IF('Prisma luxo'!$A35&lt;&gt;"",F35&amp;"kg "&amp;Material&amp;" + "&amp;ROUNDUP(F35*Conc_pig,2)&amp;"kg pigmento","")</f>
        <v/>
      </c>
    </row>
  </sheetData>
  <sheetProtection algorithmName="SHA-512" hashValue="7SA3FFMP2QijArGCM39hOWe/e3KJ5IlZEhOtIkuHtQTMtmflms1U3OFM5HIPdnyVyPwmq6tU+VjwtqLZRDEazA==" saltValue="SCkZlJY83U0mNrwRJMhKnA==" spinCount="100000" sheet="1" objects="1" scenarios="1" selectLockedCells="1"/>
  <protectedRanges>
    <protectedRange algorithmName="SHA-512" hashValue="C8ZaBLMK3+WYILaWMy/Gw2FsaVMAzeIlTWov3HwwXH7rfvuN9xojb/GdXKi29x99vOAt00VmORcW6gqG2mv20A==" saltValue="Fnq390Vi448yrAlDHzZjzg==" spinCount="100000" sqref="A15:B17" name="Campos"/>
    <protectedRange algorithmName="SHA-512" hashValue="qn0QpLg/uzcmOg1WZpG/2pZ8R6fg1YmxQvXSA8D/9PyH2UlKAq7ckp4v837hsKT/VEtYIQ0i26ZsSmUAtXQQdA==" saltValue="eaOI5csOCV0lisNYgpRfPA==" spinCount="100000" sqref="A3:B12 L3:M12" name="Campos_1"/>
  </protectedRanges>
  <dataConsolidate/>
  <mergeCells count="1">
    <mergeCell ref="A1:D1"/>
  </mergeCells>
  <pageMargins left="0.25" right="0.25" top="0.75" bottom="0.75" header="0.3" footer="0.3"/>
  <pageSetup paperSize="9" fitToWidth="0" fitToHeight="0" orientation="landscape" r:id="rId1"/>
  <headerFooter alignWithMargins="0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E0B0-80ED-4106-8DDE-B3DD416AC2DD}">
  <sheetPr codeName="Planilha4"/>
  <dimension ref="A1:O35"/>
  <sheetViews>
    <sheetView showGridLines="0" showRowColHeaders="0" zoomScaleNormal="100" workbookViewId="0">
      <selection activeCell="A5" sqref="A5"/>
    </sheetView>
  </sheetViews>
  <sheetFormatPr defaultColWidth="13.42578125" defaultRowHeight="15" customHeight="1" outlineLevelCol="1" x14ac:dyDescent="0.2"/>
  <cols>
    <col min="1" max="1" width="22.5703125" style="49" customWidth="1"/>
    <col min="2" max="2" width="25.42578125" style="49" customWidth="1"/>
    <col min="3" max="3" width="38.85546875" style="49" customWidth="1"/>
    <col min="4" max="4" width="54" style="49" customWidth="1"/>
    <col min="5" max="5" width="13.42578125" style="17"/>
    <col min="6" max="6" width="13.42578125" style="17" hidden="1" customWidth="1" outlineLevel="1"/>
    <col min="7" max="7" width="21.28515625" style="17" hidden="1" customWidth="1" outlineLevel="1"/>
    <col min="8" max="8" width="20.7109375" style="19" hidden="1" customWidth="1" outlineLevel="1"/>
    <col min="9" max="9" width="14" style="17" customWidth="1" collapsed="1"/>
    <col min="10" max="11" width="15" style="17" customWidth="1"/>
    <col min="12" max="14" width="12.42578125" style="17" customWidth="1"/>
    <col min="15" max="16384" width="13.42578125" style="17"/>
  </cols>
  <sheetData>
    <row r="1" spans="1:15" ht="39.950000000000003" customHeight="1" x14ac:dyDescent="0.2">
      <c r="A1" s="50" t="s">
        <v>34</v>
      </c>
      <c r="B1" s="51"/>
      <c r="C1" s="51"/>
      <c r="D1" s="52"/>
      <c r="G1" s="24"/>
      <c r="H1" s="48"/>
      <c r="I1" s="24"/>
      <c r="J1" s="24"/>
      <c r="K1" s="24"/>
      <c r="L1" s="24"/>
      <c r="M1" s="24"/>
      <c r="N1" s="24"/>
    </row>
    <row r="2" spans="1:15" ht="33" customHeight="1" x14ac:dyDescent="0.2">
      <c r="A2" s="53" t="s">
        <v>0</v>
      </c>
      <c r="B2" s="54" t="s">
        <v>1</v>
      </c>
      <c r="C2" s="54" t="s">
        <v>4</v>
      </c>
      <c r="D2" s="55" t="s">
        <v>5</v>
      </c>
      <c r="F2" s="24" t="s">
        <v>12</v>
      </c>
      <c r="G2" s="24" t="s">
        <v>7</v>
      </c>
      <c r="H2" s="19" t="s">
        <v>35</v>
      </c>
      <c r="N2" s="24"/>
      <c r="O2" s="24"/>
    </row>
    <row r="3" spans="1:15" ht="41.25" customHeight="1" x14ac:dyDescent="0.2">
      <c r="A3" s="4"/>
      <c r="B3" s="5"/>
      <c r="C3" s="7" t="str">
        <f>IF('Prisma básico'!$A3&lt;&gt;"",ROUNDUP((('Prisma básico'!$B3/Peças_inj)*Tempo_ciclo)/3600,0)&amp;" horas","")</f>
        <v/>
      </c>
      <c r="D3" s="56" t="str">
        <f>IF('Prisma básico'!$A3&lt;&gt;"",F3&amp;"kg "&amp;Material&amp;" + "&amp;ROUNDUP(F3*Conc_pig,2)&amp;"kg pigmento","")</f>
        <v/>
      </c>
      <c r="F3" s="24">
        <f>(ROUNDUP(('Prisma básico'!B3/Peças_inj)*Peso_inj,1))*1.1</f>
        <v>0</v>
      </c>
      <c r="G3" s="24">
        <f>Constantes!B4</f>
        <v>0.114</v>
      </c>
      <c r="H3" s="19">
        <f>ROUNDUP(((Tabela44[[#This Row],[Quantidade]]*Tempo_ciclo)/Peças_inj)/3600,0)</f>
        <v>0</v>
      </c>
      <c r="N3" s="24"/>
    </row>
    <row r="4" spans="1:15" ht="41.25" customHeight="1" x14ac:dyDescent="0.2">
      <c r="A4" s="6"/>
      <c r="B4" s="11"/>
      <c r="C4" s="57" t="str">
        <f>IF('Prisma básico'!$A4&lt;&gt;"",ROUNDUP((('Prisma básico'!$B4/Peças_inj)*Tempo_ciclo)/3600,0)&amp;" horas","")</f>
        <v/>
      </c>
      <c r="D4" s="58" t="str">
        <f>IF('Prisma básico'!$A4&lt;&gt;"",F4&amp;"kg "&amp;Material&amp;" + "&amp;ROUNDUP(F4*Conc_pig,2)&amp;"kg pigmento","")</f>
        <v/>
      </c>
      <c r="F4" s="24">
        <f>(ROUNDUP(('Prisma básico'!B4/Peças_inj)*Peso_inj,1))*1.1</f>
        <v>0</v>
      </c>
      <c r="G4" s="24" t="s">
        <v>8</v>
      </c>
      <c r="H4" s="19">
        <f>ROUNDUP(((Tabela44[[#This Row],[Quantidade]]*Tempo_ciclo)/Peças_inj)/3600,0)</f>
        <v>0</v>
      </c>
      <c r="I4" s="24"/>
      <c r="J4" s="24"/>
      <c r="K4" s="24"/>
      <c r="N4" s="24"/>
    </row>
    <row r="5" spans="1:15" ht="41.25" customHeight="1" x14ac:dyDescent="0.2">
      <c r="A5" s="6"/>
      <c r="B5" s="11"/>
      <c r="C5" s="57" t="str">
        <f>IF('Prisma básico'!$A5&lt;&gt;"",ROUNDUP((('Prisma básico'!$B5/Peças_inj)*Tempo_ciclo)/3600,0)&amp;" horas","")</f>
        <v/>
      </c>
      <c r="D5" s="58" t="str">
        <f>IF('Prisma básico'!$A5&lt;&gt;"",F5&amp;"kg "&amp;Material&amp;" + "&amp;ROUNDUP(F5*Conc_pig,2)&amp;"kg pigmento","")</f>
        <v/>
      </c>
      <c r="F5" s="24">
        <f>(ROUNDUP(('Prisma básico'!B5/Peças_inj)*Peso_inj,1))*1.1</f>
        <v>0</v>
      </c>
      <c r="G5" s="24">
        <f>Constantes!C4</f>
        <v>1</v>
      </c>
      <c r="H5" s="19">
        <f>ROUNDUP(((Tabela44[[#This Row],[Quantidade]]*Tempo_ciclo)/Peças_inj)/3600,0)</f>
        <v>0</v>
      </c>
      <c r="I5" s="24"/>
      <c r="J5" s="24"/>
      <c r="K5" s="24"/>
      <c r="N5" s="24"/>
    </row>
    <row r="6" spans="1:15" ht="41.25" customHeight="1" x14ac:dyDescent="0.2">
      <c r="A6" s="6"/>
      <c r="B6" s="11"/>
      <c r="C6" s="57" t="str">
        <f>IF('Prisma básico'!$A6&lt;&gt;"",ROUNDUP((('Prisma básico'!$B6/Peças_inj)*Tempo_ciclo)/3600,0)&amp;" horas","")</f>
        <v/>
      </c>
      <c r="D6" s="58" t="str">
        <f>IF('Prisma básico'!$A6&lt;&gt;"",F6&amp;"kg "&amp;Material&amp;" + "&amp;ROUNDUP(F6*Conc_pig,2)&amp;"kg pigmento","")</f>
        <v/>
      </c>
      <c r="F6" s="24">
        <f>(ROUNDUP(('Prisma básico'!B6/Peças_inj)*Peso_inj,1))*1.1</f>
        <v>0</v>
      </c>
      <c r="G6" s="24" t="s">
        <v>9</v>
      </c>
      <c r="H6" s="19">
        <f>ROUNDUP(((Tabela44[[#This Row],[Quantidade]]*Tempo_ciclo)/Peças_inj)/3600,0)</f>
        <v>0</v>
      </c>
      <c r="I6" s="24"/>
      <c r="J6" s="24"/>
      <c r="K6" s="24"/>
      <c r="N6" s="24"/>
    </row>
    <row r="7" spans="1:15" ht="41.25" customHeight="1" x14ac:dyDescent="0.2">
      <c r="A7" s="6"/>
      <c r="B7" s="11"/>
      <c r="C7" s="57" t="str">
        <f>IF('Prisma básico'!$A7&lt;&gt;"",ROUNDUP((('Prisma básico'!$B7/Peças_inj)*Tempo_ciclo)/3600,0)&amp;" horas","")</f>
        <v/>
      </c>
      <c r="D7" s="58" t="str">
        <f>IF('Prisma básico'!$A7&lt;&gt;"",F7&amp;"kg "&amp;Material&amp;" + "&amp;ROUNDUP(F7*Conc_pig,2)&amp;"kg pigmento","")</f>
        <v/>
      </c>
      <c r="F7" s="24">
        <f>(ROUNDUP(('Prisma básico'!B7/Peças_inj)*Peso_inj,1))*1.1</f>
        <v>0</v>
      </c>
      <c r="G7" s="24">
        <f>Constantes!D4</f>
        <v>30</v>
      </c>
      <c r="H7" s="19">
        <f>ROUNDUP(((Tabela44[[#This Row],[Quantidade]]*Tempo_ciclo)/Peças_inj)/3600,0)</f>
        <v>0</v>
      </c>
      <c r="I7" s="24"/>
      <c r="J7" s="24"/>
      <c r="K7" s="24"/>
      <c r="N7" s="24"/>
    </row>
    <row r="8" spans="1:15" ht="41.25" customHeight="1" x14ac:dyDescent="0.2">
      <c r="A8" s="6"/>
      <c r="B8" s="11"/>
      <c r="C8" s="57" t="str">
        <f>IF('Prisma básico'!$A8&lt;&gt;"",ROUNDUP((('Prisma básico'!$B8/Peças_inj)*Tempo_ciclo)/3600,0)&amp;" horas","")</f>
        <v/>
      </c>
      <c r="D8" s="58" t="str">
        <f>IF('Prisma básico'!$A8&lt;&gt;"",F8&amp;"kg "&amp;Material&amp;" + "&amp;ROUNDUP(F8*Conc_pig,2)&amp;"kg pigmento","")</f>
        <v/>
      </c>
      <c r="F8" s="24">
        <f>(ROUNDUP(('Prisma básico'!B8/Peças_inj)*Peso_inj,1))*1.1</f>
        <v>0</v>
      </c>
      <c r="G8" s="24" t="s">
        <v>5</v>
      </c>
      <c r="H8" s="19">
        <f>ROUNDUP(((Tabela44[[#This Row],[Quantidade]]*Tempo_ciclo)/Peças_inj)/3600,0)</f>
        <v>0</v>
      </c>
      <c r="I8" s="24"/>
      <c r="J8" s="24"/>
      <c r="K8" s="24"/>
      <c r="N8" s="24"/>
    </row>
    <row r="9" spans="1:15" ht="41.25" customHeight="1" x14ac:dyDescent="0.2">
      <c r="A9" s="6"/>
      <c r="B9" s="11"/>
      <c r="C9" s="57" t="str">
        <f>IF('Prisma básico'!$A9&lt;&gt;"",ROUNDUP((('Prisma básico'!$B9/Peças_inj)*Tempo_ciclo)/3600,0)&amp;" horas","")</f>
        <v/>
      </c>
      <c r="D9" s="58" t="str">
        <f>IF('Prisma básico'!$A9&lt;&gt;"",F9&amp;"kg "&amp;Material&amp;" + "&amp;ROUNDUP(F9*Conc_pig,2)&amp;"kg pigmento","")</f>
        <v/>
      </c>
      <c r="F9" s="24">
        <f>(ROUNDUP(('Prisma básico'!B9/Peças_inj)*Peso_inj,1))*1.1</f>
        <v>0</v>
      </c>
      <c r="G9" s="24" t="str">
        <f>Constantes!E4</f>
        <v>PS</v>
      </c>
      <c r="H9" s="19">
        <f>ROUNDUP(((Tabela44[[#This Row],[Quantidade]]*Tempo_ciclo)/Peças_inj)/3600,0)</f>
        <v>0</v>
      </c>
      <c r="I9" s="24"/>
      <c r="J9" s="24"/>
      <c r="K9" s="24"/>
      <c r="N9" s="24"/>
    </row>
    <row r="10" spans="1:15" ht="41.25" customHeight="1" x14ac:dyDescent="0.2">
      <c r="A10" s="6"/>
      <c r="B10" s="11"/>
      <c r="C10" s="57" t="str">
        <f>IF('Prisma básico'!$A10&lt;&gt;"",ROUNDUP((('Prisma básico'!$B10/Peças_inj)*Tempo_ciclo)/3600,0)&amp;" horas","")</f>
        <v/>
      </c>
      <c r="D10" s="58" t="str">
        <f>IF('Prisma básico'!$A10&lt;&gt;"",F10&amp;"kg "&amp;Material&amp;" + "&amp;ROUNDUP(F10*Conc_pig,2)&amp;"kg pigmento","")</f>
        <v/>
      </c>
      <c r="F10" s="24">
        <f>(ROUNDUP(('Prisma básico'!B10/Peças_inj)*Peso_inj,1))*1.1</f>
        <v>0</v>
      </c>
      <c r="G10" s="24" t="s">
        <v>10</v>
      </c>
      <c r="H10" s="19">
        <f>ROUNDUP(((Tabela44[[#This Row],[Quantidade]]*Tempo_ciclo)/Peças_inj)/3600,0)</f>
        <v>0</v>
      </c>
      <c r="I10" s="24"/>
      <c r="J10" s="24"/>
      <c r="K10" s="24"/>
      <c r="N10" s="24"/>
    </row>
    <row r="11" spans="1:15" ht="41.25" customHeight="1" x14ac:dyDescent="0.2">
      <c r="A11" s="6"/>
      <c r="B11" s="11"/>
      <c r="C11" s="57" t="str">
        <f>IF('Prisma básico'!$A11&lt;&gt;"",ROUNDUP((('Prisma básico'!$B11/Peças_inj)*Tempo_ciclo)/3600,0)&amp;" horas","")</f>
        <v/>
      </c>
      <c r="D11" s="58" t="str">
        <f>IF('Prisma básico'!$A11&lt;&gt;"",F11&amp;"kg "&amp;Material&amp;" + "&amp;ROUNDUP(F11*Conc_pig,2)&amp;"kg pigmento","")</f>
        <v/>
      </c>
      <c r="F11" s="24">
        <f>(ROUNDUP(('Prisma básico'!B11/Peças_inj)*Peso_inj,1))*1.1</f>
        <v>0</v>
      </c>
      <c r="G11" s="24">
        <f>Constantes!F4</f>
        <v>1</v>
      </c>
      <c r="H11" s="19">
        <f>ROUNDUP(((Tabela44[[#This Row],[Quantidade]]*Tempo_ciclo)/Peças_inj)/3600,0)</f>
        <v>0</v>
      </c>
      <c r="I11" s="24"/>
      <c r="J11" s="24"/>
      <c r="K11" s="24"/>
      <c r="N11" s="24"/>
    </row>
    <row r="12" spans="1:15" ht="41.25" customHeight="1" x14ac:dyDescent="0.2">
      <c r="A12" s="12"/>
      <c r="B12" s="11"/>
      <c r="C12" s="59" t="str">
        <f>IF('Prisma básico'!$A12&lt;&gt;"",ROUNDUP((('Prisma básico'!$B12/Peças_inj)*Tempo_ciclo)/3600,0)&amp;" horas","")</f>
        <v/>
      </c>
      <c r="D12" s="60" t="str">
        <f>IF('Prisma básico'!$A12&lt;&gt;"",F12&amp;"kg "&amp;Material&amp;" + "&amp;ROUNDUP(F12*Conc_pig,2)&amp;"kg pigmento","")</f>
        <v/>
      </c>
      <c r="F12" s="24">
        <f>(ROUNDUP(('Prisma básico'!B12/Peças_inj)*Peso_inj,1))*1.1</f>
        <v>0</v>
      </c>
      <c r="G12" s="24" t="s">
        <v>11</v>
      </c>
      <c r="H12" s="19">
        <f>ROUNDUP(((Tabela44[[#This Row],[Quantidade]]*Tempo_ciclo)/Peças_inj)/3600,0)</f>
        <v>0</v>
      </c>
      <c r="I12" s="24"/>
      <c r="J12" s="24"/>
      <c r="K12" s="24"/>
      <c r="N12" s="24"/>
    </row>
    <row r="13" spans="1:15" ht="36.75" customHeight="1" x14ac:dyDescent="0.2">
      <c r="A13" s="33" t="s">
        <v>31</v>
      </c>
      <c r="B13" s="61" t="str">
        <f>"PEÇAS: "&amp;SUM(B3:B12)</f>
        <v>PEÇAS: 0</v>
      </c>
      <c r="C13" s="62" t="str">
        <f>"TEMPO: "&amp;IF(SUM(H3:H12) &lt; 10,SUM(H3:H12)&amp;" HORAS",ROUNDDOWN(SUM(H3:H12)/10,0)&amp;" DIA(S) E "&amp;MOD(SUM(H3:H12),10) &amp;" HORAS")</f>
        <v>TEMPO: 0 HORAS</v>
      </c>
      <c r="D13" s="37" t="str">
        <f>"MATERIAL: "&amp;SUM(F3:F12)&amp;"kg de "&amp;Material</f>
        <v>MATERIAL: 0kg de PS</v>
      </c>
      <c r="F13" s="24"/>
      <c r="G13" s="24">
        <v>1.7999999999999999E-2</v>
      </c>
      <c r="I13" s="24"/>
      <c r="J13" s="24"/>
      <c r="K13" s="24"/>
      <c r="N13" s="24"/>
    </row>
    <row r="14" spans="1:15" ht="36.75" customHeight="1" x14ac:dyDescent="0.2">
      <c r="A14" s="44"/>
      <c r="B14" s="44"/>
      <c r="C14" s="44" t="str">
        <f>IF('Prisma básico'!$A14&lt;&gt;"",ROUNDUP((('Prisma básico'!$B14/Peças_inj)*Tempo_ciclo)/3600,0)&amp;" horas","")</f>
        <v/>
      </c>
      <c r="D14" s="44" t="str">
        <f>IF('Prisma básico'!$A14&lt;&gt;"",F14&amp;"kg "&amp;Material&amp;" + "&amp;ROUNDUP(F14*Conc_pig,2)&amp;"kg pigmento","")</f>
        <v/>
      </c>
      <c r="F14" s="24"/>
      <c r="G14" s="24"/>
      <c r="I14" s="24"/>
      <c r="J14" s="24"/>
      <c r="K14" s="24"/>
      <c r="N14" s="24"/>
    </row>
    <row r="15" spans="1:15" ht="36.75" customHeight="1" x14ac:dyDescent="0.2">
      <c r="A15" s="44"/>
      <c r="B15" s="44"/>
      <c r="C15" s="44" t="str">
        <f>IF('Prisma básico'!$A15&lt;&gt;"",ROUNDUP((('Prisma básico'!$B15/Peças_inj)*Tempo_ciclo)/3600,0)&amp;" horas","")</f>
        <v/>
      </c>
      <c r="D15" s="44" t="str">
        <f>IF('Prisma básico'!$A15&lt;&gt;"",F15&amp;"kg "&amp;Material&amp;" + "&amp;ROUNDUP(F15*Conc_pig,2)&amp;"kg pigmento","")</f>
        <v/>
      </c>
      <c r="F15" s="24"/>
      <c r="G15" s="24"/>
      <c r="I15" s="24"/>
      <c r="J15" s="24"/>
      <c r="K15" s="24"/>
      <c r="N15" s="24"/>
    </row>
    <row r="16" spans="1:15" ht="36.75" customHeight="1" x14ac:dyDescent="0.2">
      <c r="A16" s="44"/>
      <c r="B16" s="44"/>
      <c r="C16" s="44" t="str">
        <f>IF('Prisma básico'!$A16&lt;&gt;"",ROUNDUP((('Prisma básico'!$B16/Peças_inj)*Tempo_ciclo)/3600,0)&amp;" horas","")</f>
        <v/>
      </c>
      <c r="D16" s="44" t="str">
        <f>IF('Prisma básico'!$A16&lt;&gt;"",F16&amp;"kg "&amp;Material&amp;" + "&amp;ROUNDUP(F16*Conc_pig,2)&amp;"kg pigmento","")</f>
        <v/>
      </c>
      <c r="E16" s="44" t="str">
        <f>IF('Prisma básico'!$A18&lt;&gt;"",F18&amp;"kg "&amp;Material&amp;" + "&amp;ROUNDUP(F18*Conc_pig,2)&amp;"kg pigmento","")</f>
        <v/>
      </c>
      <c r="F16" s="24"/>
      <c r="G16" s="24"/>
      <c r="I16" s="24"/>
      <c r="J16" s="24"/>
      <c r="K16" s="24"/>
      <c r="N16" s="24"/>
    </row>
    <row r="17" spans="1:14" ht="36.75" customHeight="1" x14ac:dyDescent="0.2">
      <c r="A17" s="44"/>
      <c r="B17" s="44"/>
      <c r="C17" s="44" t="str">
        <f>IF('Prisma básico'!$A17&lt;&gt;"",ROUNDUP((('Prisma básico'!$B17/Peças_inj)*Tempo_ciclo)/3600,0)&amp;" horas","")</f>
        <v/>
      </c>
      <c r="D17" s="44" t="str">
        <f>IF('Prisma básico'!$A17&lt;&gt;"",F17&amp;"kg "&amp;Material&amp;" + "&amp;ROUNDUP(F17*Conc_pig,2)&amp;"kg pigmento","")</f>
        <v/>
      </c>
      <c r="F17" s="24"/>
      <c r="G17" s="24"/>
      <c r="I17" s="24"/>
      <c r="J17" s="24"/>
      <c r="K17" s="24"/>
      <c r="L17" s="24"/>
      <c r="M17" s="24"/>
      <c r="N17" s="24"/>
    </row>
    <row r="18" spans="1:14" ht="36.75" customHeight="1" x14ac:dyDescent="0.2">
      <c r="A18" s="44"/>
      <c r="B18" s="44"/>
      <c r="C18" s="44" t="str">
        <f>IF('Prisma básico'!$A18&lt;&gt;"",ROUNDUP((('Prisma básico'!$B18/Peças_inj)*Tempo_ciclo)/3600,0)&amp;" horas","")</f>
        <v/>
      </c>
      <c r="D18" s="44" t="str">
        <f>IF('Prisma básico'!$A18&lt;&gt;"",F18&amp;"kg "&amp;Material&amp;" + "&amp;ROUNDUP(F18*Conc_pig,2)&amp;"kg pigmento","")</f>
        <v/>
      </c>
      <c r="F18" s="24"/>
      <c r="G18" s="24"/>
      <c r="I18" s="24"/>
      <c r="J18" s="24"/>
      <c r="K18" s="24"/>
      <c r="L18" s="24"/>
      <c r="M18" s="24"/>
      <c r="N18" s="24"/>
    </row>
    <row r="19" spans="1:14" ht="26.25" customHeight="1" x14ac:dyDescent="0.2">
      <c r="D19" s="44" t="str">
        <f>IF('Prisma básico'!$A19&lt;&gt;"",F19&amp;"kg "&amp;Material&amp;" + "&amp;ROUNDUP(F19*Conc_pig,2)&amp;"kg pigmento","")</f>
        <v/>
      </c>
      <c r="G19" s="24"/>
      <c r="H19" s="48"/>
      <c r="I19" s="24"/>
      <c r="J19" s="24"/>
      <c r="K19" s="24"/>
      <c r="L19" s="24"/>
      <c r="M19" s="24"/>
      <c r="N19" s="24"/>
    </row>
    <row r="20" spans="1:14" ht="26.25" customHeight="1" x14ac:dyDescent="0.2">
      <c r="B20" s="45"/>
      <c r="C20" s="45" t="str">
        <f>IF(B20&lt;&gt;"",ROUNDUP(H7,0)&amp;" horas","")</f>
        <v/>
      </c>
      <c r="D20" s="44" t="str">
        <f>IF('Prisma básico'!$A20&lt;&gt;"",F20&amp;"kg "&amp;Material&amp;" + "&amp;ROUNDUP(F20*Conc_pig,2)&amp;"kg pigmento","")</f>
        <v/>
      </c>
      <c r="G20" s="24"/>
      <c r="H20" s="48"/>
      <c r="I20" s="24"/>
      <c r="J20" s="24"/>
      <c r="K20" s="24"/>
      <c r="L20" s="24"/>
      <c r="M20" s="24"/>
      <c r="N20" s="24"/>
    </row>
    <row r="21" spans="1:14" ht="26.25" customHeight="1" x14ac:dyDescent="0.2">
      <c r="B21" s="45"/>
      <c r="C21" s="45"/>
      <c r="D21" s="44" t="str">
        <f>IF('Prisma básico'!$A21&lt;&gt;"",F21&amp;"kg "&amp;Material&amp;" + "&amp;ROUNDUP(F21*Conc_pig,2)&amp;"kg pigmento","")</f>
        <v/>
      </c>
      <c r="G21" s="24"/>
      <c r="H21" s="48"/>
      <c r="I21" s="24"/>
      <c r="J21" s="24"/>
      <c r="K21" s="24"/>
      <c r="L21" s="24"/>
      <c r="M21" s="24"/>
      <c r="N21" s="24"/>
    </row>
    <row r="22" spans="1:14" ht="32.25" customHeight="1" x14ac:dyDescent="0.2">
      <c r="A22" s="33" t="s">
        <v>31</v>
      </c>
      <c r="B22" s="63" t="str">
        <f>"PEÇAS: "&amp;SUM(B3:B12)</f>
        <v>PEÇAS: 0</v>
      </c>
      <c r="C22" s="33" t="str">
        <f>"TEMPO: "&amp;IF(SUM(H3:H18) &lt; 10,SUM(H3:H18)&amp;" HORAS",ROUNDDOWN(SUM(H3:H18)/10,0)&amp;" DIA(S) E "&amp;MOD(SUM(H3:H18),10) &amp;" HORAS")</f>
        <v>TEMPO: 0 HORAS</v>
      </c>
      <c r="D22" s="37" t="str">
        <f>"MATERIAL: "&amp;SUM(F3:F18)&amp;"kg de "&amp;Material</f>
        <v>MATERIAL: 0kg de PS</v>
      </c>
      <c r="G22" s="24"/>
      <c r="H22" s="48"/>
      <c r="I22" s="24"/>
      <c r="J22" s="24"/>
      <c r="K22" s="24"/>
      <c r="L22" s="24"/>
      <c r="M22" s="24"/>
      <c r="N22" s="24"/>
    </row>
    <row r="23" spans="1:14" ht="13.5" customHeight="1" x14ac:dyDescent="0.2">
      <c r="B23" s="45"/>
      <c r="C23" s="45"/>
      <c r="D23" s="44"/>
    </row>
    <row r="24" spans="1:14" ht="15" customHeight="1" x14ac:dyDescent="0.2">
      <c r="B24" s="45"/>
      <c r="C24" s="45"/>
      <c r="D24" s="44"/>
    </row>
    <row r="25" spans="1:14" ht="15" customHeight="1" x14ac:dyDescent="0.2">
      <c r="B25" s="45"/>
      <c r="C25" s="45"/>
      <c r="D25" s="44"/>
    </row>
    <row r="26" spans="1:14" ht="15" customHeight="1" x14ac:dyDescent="0.2">
      <c r="B26" s="45"/>
      <c r="C26" s="45"/>
      <c r="D26" s="44"/>
    </row>
    <row r="27" spans="1:14" ht="15" customHeight="1" x14ac:dyDescent="0.2">
      <c r="B27" s="45"/>
      <c r="C27" s="45"/>
      <c r="D27" s="44"/>
    </row>
    <row r="28" spans="1:14" ht="15" customHeight="1" x14ac:dyDescent="0.2">
      <c r="B28" s="45"/>
      <c r="C28" s="45"/>
      <c r="D28" s="44"/>
    </row>
    <row r="29" spans="1:14" ht="15" customHeight="1" x14ac:dyDescent="0.2">
      <c r="B29" s="45"/>
      <c r="C29" s="45"/>
      <c r="D29" s="44"/>
    </row>
    <row r="30" spans="1:14" ht="15" customHeight="1" x14ac:dyDescent="0.2">
      <c r="B30" s="45"/>
      <c r="C30" s="45"/>
      <c r="D30" s="44"/>
    </row>
    <row r="31" spans="1:14" ht="15" customHeight="1" x14ac:dyDescent="0.2">
      <c r="B31" s="45"/>
      <c r="C31" s="45"/>
      <c r="D31" s="44"/>
    </row>
    <row r="32" spans="1:14" ht="15" customHeight="1" x14ac:dyDescent="0.2">
      <c r="B32" s="45"/>
      <c r="C32" s="45" t="str">
        <f>IF(B32&lt;&gt;"",ROUNDUP(H20,0)&amp;" horas","")</f>
        <v/>
      </c>
      <c r="D32" s="44" t="str">
        <f>IF('Prisma básico'!$A32&lt;&gt;"",F32&amp;"kg "&amp;Material&amp;" + "&amp;ROUNDUP(F32*Conc_pig,2)&amp;"kg pigmento","")</f>
        <v/>
      </c>
    </row>
    <row r="33" spans="2:4" ht="15" customHeight="1" x14ac:dyDescent="0.2">
      <c r="B33" s="45"/>
      <c r="C33" s="45" t="str">
        <f>IF(B33&lt;&gt;"",ROUNDUP(H21,0)&amp;" horas","")</f>
        <v/>
      </c>
      <c r="D33" s="44" t="str">
        <f>IF('Prisma básico'!$A33&lt;&gt;"",F33&amp;"kg "&amp;Material&amp;" + "&amp;ROUNDUP(F33*Conc_pig,2)&amp;"kg pigmento","")</f>
        <v/>
      </c>
    </row>
    <row r="34" spans="2:4" ht="15" customHeight="1" x14ac:dyDescent="0.2">
      <c r="B34" s="45"/>
      <c r="C34" s="45" t="str">
        <f>IF(B34&lt;&gt;"",ROUNDUP(H22,0)&amp;" horas","")</f>
        <v/>
      </c>
      <c r="D34" s="44" t="str">
        <f>IF('Prisma básico'!$A34&lt;&gt;"",F34&amp;"kg "&amp;Material&amp;" + "&amp;ROUNDUP(F34*Conc_pig,2)&amp;"kg pigmento","")</f>
        <v/>
      </c>
    </row>
    <row r="35" spans="2:4" ht="15" customHeight="1" x14ac:dyDescent="0.2">
      <c r="B35" s="45"/>
      <c r="C35" s="45" t="str">
        <f>IF(B35&lt;&gt;"",ROUND(K23,0)&amp;" horas","")</f>
        <v/>
      </c>
      <c r="D35" s="44" t="str">
        <f>IF('Prisma básico'!$A35&lt;&gt;"",F35&amp;"kg "&amp;Material&amp;" + "&amp;ROUNDUP(F35*Conc_pig,2)&amp;"kg pigmento","")</f>
        <v/>
      </c>
    </row>
  </sheetData>
  <sheetProtection algorithmName="SHA-512" hashValue="xKwiI458guUdO3/4shEqgeWzwlb9Hlv6s9OD3LHEBGHSaiwVSW9hwFHgBBX8L7PDfI0lWdnSHxlcee5NPhEVnA==" saltValue="+153E/tTofkCcbvEi6/2Iw==" spinCount="100000" sheet="1" objects="1" scenarios="1" selectLockedCells="1"/>
  <protectedRanges>
    <protectedRange algorithmName="SHA-512" hashValue="C8ZaBLMK3+WYILaWMy/Gw2FsaVMAzeIlTWov3HwwXH7rfvuN9xojb/GdXKi29x99vOAt00VmORcW6gqG2mv20A==" saltValue="Fnq390Vi448yrAlDHzZjzg==" spinCount="100000" sqref="A14:B17" name="Campos"/>
    <protectedRange algorithmName="SHA-512" hashValue="qn0QpLg/uzcmOg1WZpG/2pZ8R6fg1YmxQvXSA8D/9PyH2UlKAq7ckp4v837hsKT/VEtYIQ0i26ZsSmUAtXQQdA==" saltValue="eaOI5csOCV0lisNYgpRfPA==" spinCount="100000" sqref="A3:B12" name="Campos_1"/>
  </protectedRanges>
  <mergeCells count="1">
    <mergeCell ref="A1:D1"/>
  </mergeCells>
  <pageMargins left="0.23622047244094491" right="0.23622047244094491" top="0.39370078740157483" bottom="0.39370078740157483" header="0.31496062992125984" footer="0.31496062992125984"/>
  <pageSetup paperSize="9" fitToWidth="0" fitToHeight="0" orientation="landscape" r:id="rId1"/>
  <headerFooter alignWithMargins="0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G1000"/>
  <sheetViews>
    <sheetView workbookViewId="0">
      <selection activeCell="J7" sqref="J7"/>
    </sheetView>
  </sheetViews>
  <sheetFormatPr defaultColWidth="13.42578125" defaultRowHeight="15" customHeight="1" x14ac:dyDescent="0.2"/>
  <cols>
    <col min="1" max="1" width="21.7109375" bestFit="1" customWidth="1"/>
    <col min="2" max="2" width="23.140625" bestFit="1" customWidth="1"/>
    <col min="3" max="3" width="20.140625" bestFit="1" customWidth="1"/>
    <col min="4" max="4" width="22.5703125" bestFit="1" customWidth="1"/>
    <col min="5" max="5" width="10.140625" customWidth="1"/>
    <col min="6" max="6" width="15.28515625" customWidth="1"/>
    <col min="7" max="7" width="17.5703125" customWidth="1"/>
    <col min="8" max="25" width="9.140625" customWidth="1"/>
  </cols>
  <sheetData>
    <row r="1" spans="1:7" ht="15.75" customHeight="1" x14ac:dyDescent="0.2">
      <c r="A1" s="8" t="s">
        <v>13</v>
      </c>
      <c r="B1" s="8" t="s">
        <v>7</v>
      </c>
      <c r="C1" s="8" t="s">
        <v>8</v>
      </c>
      <c r="D1" s="8" t="s">
        <v>9</v>
      </c>
      <c r="E1" s="8" t="s">
        <v>5</v>
      </c>
      <c r="F1" s="8" t="s">
        <v>10</v>
      </c>
      <c r="G1" s="8" t="s">
        <v>11</v>
      </c>
    </row>
    <row r="2" spans="1:7" ht="15.75" customHeight="1" x14ac:dyDescent="0.2">
      <c r="A2" s="1" t="s">
        <v>14</v>
      </c>
      <c r="B2" s="2">
        <v>3.1E-2</v>
      </c>
      <c r="C2" s="1">
        <v>1</v>
      </c>
      <c r="D2" s="1">
        <v>14</v>
      </c>
      <c r="E2" s="1" t="s">
        <v>15</v>
      </c>
      <c r="F2" s="1">
        <v>1</v>
      </c>
      <c r="G2" s="3">
        <v>1.7999999999999999E-2</v>
      </c>
    </row>
    <row r="3" spans="1:7" ht="15.75" customHeight="1" x14ac:dyDescent="0.2">
      <c r="A3" s="1" t="s">
        <v>16</v>
      </c>
      <c r="B3" s="2">
        <v>0.03</v>
      </c>
      <c r="C3" s="1">
        <v>1</v>
      </c>
      <c r="D3" s="1">
        <v>15</v>
      </c>
      <c r="E3" s="1" t="s">
        <v>15</v>
      </c>
      <c r="F3" s="1">
        <v>1</v>
      </c>
      <c r="G3" s="3">
        <v>1.7999999999999999E-2</v>
      </c>
    </row>
    <row r="4" spans="1:7" ht="15.75" customHeight="1" x14ac:dyDescent="0.2">
      <c r="A4" s="1" t="s">
        <v>17</v>
      </c>
      <c r="B4" s="2">
        <v>0.114</v>
      </c>
      <c r="C4" s="1">
        <v>1</v>
      </c>
      <c r="D4" s="1">
        <v>30</v>
      </c>
      <c r="E4" s="1" t="s">
        <v>18</v>
      </c>
      <c r="F4" s="1">
        <v>1</v>
      </c>
      <c r="G4" s="3">
        <v>1.7999999999999999E-2</v>
      </c>
    </row>
    <row r="5" spans="1:7" ht="15.75" customHeight="1" x14ac:dyDescent="0.2">
      <c r="A5" s="1" t="s">
        <v>19</v>
      </c>
      <c r="B5" s="2">
        <v>0.2</v>
      </c>
      <c r="C5" s="1">
        <v>1</v>
      </c>
      <c r="D5" s="1">
        <v>32</v>
      </c>
      <c r="E5" s="1" t="s">
        <v>18</v>
      </c>
      <c r="F5" s="1">
        <v>1</v>
      </c>
      <c r="G5" s="3">
        <v>1.7999999999999999E-2</v>
      </c>
    </row>
    <row r="6" spans="1:7" ht="15.75" customHeight="1" x14ac:dyDescent="0.2">
      <c r="A6" s="1" t="s">
        <v>20</v>
      </c>
      <c r="B6" s="2"/>
      <c r="C6" s="1">
        <v>1</v>
      </c>
      <c r="D6" s="1"/>
      <c r="E6" s="1" t="s">
        <v>21</v>
      </c>
      <c r="F6" s="1">
        <v>0</v>
      </c>
      <c r="G6" s="3"/>
    </row>
    <row r="7" spans="1:7" ht="15.75" customHeight="1" x14ac:dyDescent="0.2">
      <c r="A7" s="1" t="s">
        <v>22</v>
      </c>
      <c r="B7" s="2"/>
      <c r="C7" s="1">
        <v>2</v>
      </c>
      <c r="D7" s="1"/>
      <c r="E7" s="1" t="s">
        <v>18</v>
      </c>
      <c r="F7" s="1">
        <v>1</v>
      </c>
      <c r="G7" s="3">
        <v>1.7999999999999999E-2</v>
      </c>
    </row>
    <row r="8" spans="1:7" ht="15.75" customHeight="1" x14ac:dyDescent="0.2">
      <c r="A8" s="1" t="s">
        <v>23</v>
      </c>
      <c r="B8" s="2"/>
      <c r="C8" s="1">
        <v>1</v>
      </c>
      <c r="D8" s="1"/>
      <c r="E8" s="1" t="s">
        <v>18</v>
      </c>
      <c r="F8" s="1">
        <v>1</v>
      </c>
      <c r="G8" s="3">
        <v>1.7999999999999999E-2</v>
      </c>
    </row>
    <row r="9" spans="1:7" ht="15.75" customHeight="1" x14ac:dyDescent="0.2">
      <c r="A9" s="1" t="s">
        <v>24</v>
      </c>
      <c r="B9" s="2">
        <v>5.8000000000000003E-2</v>
      </c>
      <c r="C9" s="1">
        <v>4</v>
      </c>
      <c r="D9" s="1">
        <v>40</v>
      </c>
      <c r="E9" s="1" t="s">
        <v>25</v>
      </c>
      <c r="F9" s="1">
        <v>0</v>
      </c>
      <c r="G9" s="3"/>
    </row>
    <row r="10" spans="1:7" ht="15.75" customHeight="1" x14ac:dyDescent="0.2">
      <c r="A10" s="1" t="s">
        <v>26</v>
      </c>
      <c r="B10" s="2">
        <v>4.5999999999999999E-2</v>
      </c>
      <c r="C10" s="1">
        <v>8</v>
      </c>
      <c r="D10" s="1">
        <v>40</v>
      </c>
      <c r="E10" s="1" t="s">
        <v>18</v>
      </c>
      <c r="F10" s="1">
        <v>1</v>
      </c>
      <c r="G10" s="3">
        <v>1.7999999999999999E-2</v>
      </c>
    </row>
    <row r="11" spans="1:7" ht="15.75" customHeight="1" x14ac:dyDescent="0.2">
      <c r="A11" s="1" t="s">
        <v>27</v>
      </c>
      <c r="B11" s="2">
        <f t="shared" ref="B11:G11" si="0">B10</f>
        <v>4.5999999999999999E-2</v>
      </c>
      <c r="C11" s="1">
        <f t="shared" si="0"/>
        <v>8</v>
      </c>
      <c r="D11" s="1">
        <f t="shared" si="0"/>
        <v>40</v>
      </c>
      <c r="E11" s="1" t="str">
        <f t="shared" si="0"/>
        <v>PS</v>
      </c>
      <c r="F11" s="1">
        <f t="shared" si="0"/>
        <v>1</v>
      </c>
      <c r="G11" s="3">
        <f t="shared" si="0"/>
        <v>1.7999999999999999E-2</v>
      </c>
    </row>
    <row r="12" spans="1:7" ht="15.75" customHeight="1" x14ac:dyDescent="0.2">
      <c r="A12" s="1" t="s">
        <v>28</v>
      </c>
      <c r="B12" s="1"/>
      <c r="C12" s="1"/>
      <c r="D12" s="1"/>
      <c r="E12" s="1"/>
      <c r="F12" s="1">
        <v>1</v>
      </c>
      <c r="G12" s="3">
        <v>1.7999999999999999E-2</v>
      </c>
    </row>
    <row r="13" spans="1:7" ht="15.75" customHeight="1" x14ac:dyDescent="0.2">
      <c r="A13" s="1" t="s">
        <v>29</v>
      </c>
      <c r="B13" s="1"/>
      <c r="C13" s="1">
        <v>1</v>
      </c>
      <c r="D13" s="1"/>
      <c r="E13" s="1"/>
      <c r="F13" s="1">
        <v>1</v>
      </c>
      <c r="G13" s="3">
        <v>1.7999999999999999E-2</v>
      </c>
    </row>
    <row r="14" spans="1:7" ht="15.75" customHeight="1" x14ac:dyDescent="0.2"/>
    <row r="15" spans="1:7" ht="15.75" customHeight="1" x14ac:dyDescent="0.2">
      <c r="G15" s="3"/>
    </row>
    <row r="16" spans="1:7" ht="15.75" customHeight="1" x14ac:dyDescent="0.2">
      <c r="G16" s="3"/>
    </row>
    <row r="17" spans="6:7" ht="15.75" customHeight="1" x14ac:dyDescent="0.2">
      <c r="G17" s="3"/>
    </row>
    <row r="18" spans="6:7" ht="15.75" customHeight="1" x14ac:dyDescent="0.2">
      <c r="F18" t="s">
        <v>30</v>
      </c>
      <c r="G18" s="3"/>
    </row>
    <row r="19" spans="6:7" ht="15.75" customHeight="1" x14ac:dyDescent="0.2">
      <c r="G19" s="3"/>
    </row>
    <row r="20" spans="6:7" ht="15.75" customHeight="1" x14ac:dyDescent="0.2">
      <c r="G20" s="3"/>
    </row>
    <row r="21" spans="6:7" ht="15.75" customHeight="1" x14ac:dyDescent="0.2">
      <c r="G21" s="3"/>
    </row>
    <row r="22" spans="6:7" ht="15.75" customHeight="1" x14ac:dyDescent="0.2">
      <c r="G22" s="3"/>
    </row>
    <row r="23" spans="6:7" ht="15.75" customHeight="1" x14ac:dyDescent="0.2">
      <c r="G23" s="3"/>
    </row>
    <row r="24" spans="6:7" ht="15.75" customHeight="1" x14ac:dyDescent="0.2">
      <c r="G24" s="3"/>
    </row>
    <row r="25" spans="6:7" ht="15.75" customHeight="1" x14ac:dyDescent="0.2">
      <c r="G25" s="3"/>
    </row>
    <row r="26" spans="6:7" ht="15.75" customHeight="1" x14ac:dyDescent="0.2">
      <c r="G26" s="3"/>
    </row>
    <row r="27" spans="6:7" ht="15.75" customHeight="1" x14ac:dyDescent="0.2">
      <c r="G27" s="3"/>
    </row>
    <row r="28" spans="6:7" ht="15.75" customHeight="1" x14ac:dyDescent="0.2">
      <c r="G28" s="3"/>
    </row>
    <row r="29" spans="6:7" ht="15.75" customHeight="1" x14ac:dyDescent="0.2">
      <c r="G29" s="3"/>
    </row>
    <row r="30" spans="6:7" ht="15.75" customHeight="1" x14ac:dyDescent="0.2">
      <c r="G30" s="3"/>
    </row>
    <row r="31" spans="6:7" ht="15.75" customHeight="1" x14ac:dyDescent="0.2">
      <c r="G31" s="3"/>
    </row>
    <row r="32" spans="6:7" ht="15.75" customHeight="1" x14ac:dyDescent="0.2">
      <c r="G32" s="3"/>
    </row>
    <row r="33" spans="7:7" ht="15.75" customHeight="1" x14ac:dyDescent="0.2">
      <c r="G33" s="3"/>
    </row>
    <row r="34" spans="7:7" ht="15.75" customHeight="1" x14ac:dyDescent="0.2">
      <c r="G34" s="3"/>
    </row>
    <row r="35" spans="7:7" ht="15.75" customHeight="1" x14ac:dyDescent="0.2">
      <c r="G35" s="3"/>
    </row>
    <row r="36" spans="7:7" ht="15.75" customHeight="1" x14ac:dyDescent="0.2">
      <c r="G36" s="3"/>
    </row>
    <row r="37" spans="7:7" ht="15.75" customHeight="1" x14ac:dyDescent="0.2">
      <c r="G37" s="3"/>
    </row>
    <row r="38" spans="7:7" ht="15.75" customHeight="1" x14ac:dyDescent="0.2">
      <c r="G38" s="3"/>
    </row>
    <row r="39" spans="7:7" ht="15.75" customHeight="1" x14ac:dyDescent="0.2">
      <c r="G39" s="3"/>
    </row>
    <row r="40" spans="7:7" ht="15.75" customHeight="1" x14ac:dyDescent="0.2">
      <c r="G40" s="3"/>
    </row>
    <row r="41" spans="7:7" ht="15.75" customHeight="1" x14ac:dyDescent="0.2">
      <c r="G41" s="3"/>
    </row>
    <row r="42" spans="7:7" ht="15.75" customHeight="1" x14ac:dyDescent="0.2">
      <c r="G42" s="3"/>
    </row>
    <row r="43" spans="7:7" ht="15.75" customHeight="1" x14ac:dyDescent="0.2">
      <c r="G43" s="3"/>
    </row>
    <row r="44" spans="7:7" ht="15.75" customHeight="1" x14ac:dyDescent="0.2">
      <c r="G44" s="3"/>
    </row>
    <row r="45" spans="7:7" ht="15.75" customHeight="1" x14ac:dyDescent="0.2">
      <c r="G45" s="3"/>
    </row>
    <row r="46" spans="7:7" ht="15.75" customHeight="1" x14ac:dyDescent="0.2">
      <c r="G46" s="3"/>
    </row>
    <row r="47" spans="7:7" ht="15.75" customHeight="1" x14ac:dyDescent="0.2">
      <c r="G47" s="3"/>
    </row>
    <row r="48" spans="7:7" ht="15.75" customHeight="1" x14ac:dyDescent="0.2">
      <c r="G48" s="3"/>
    </row>
    <row r="49" spans="7:7" ht="15.75" customHeight="1" x14ac:dyDescent="0.2">
      <c r="G49" s="3"/>
    </row>
    <row r="50" spans="7:7" ht="15.75" customHeight="1" x14ac:dyDescent="0.2">
      <c r="G50" s="3"/>
    </row>
    <row r="51" spans="7:7" ht="15.75" customHeight="1" x14ac:dyDescent="0.2">
      <c r="G51" s="3"/>
    </row>
    <row r="52" spans="7:7" ht="15.75" customHeight="1" x14ac:dyDescent="0.2">
      <c r="G52" s="3"/>
    </row>
    <row r="53" spans="7:7" ht="15.75" customHeight="1" x14ac:dyDescent="0.2">
      <c r="G53" s="3"/>
    </row>
    <row r="54" spans="7:7" ht="15.75" customHeight="1" x14ac:dyDescent="0.2">
      <c r="G54" s="3"/>
    </row>
    <row r="55" spans="7:7" ht="15.75" customHeight="1" x14ac:dyDescent="0.2">
      <c r="G55" s="3"/>
    </row>
    <row r="56" spans="7:7" ht="15.75" customHeight="1" x14ac:dyDescent="0.2">
      <c r="G56" s="3"/>
    </row>
    <row r="57" spans="7:7" ht="15.75" customHeight="1" x14ac:dyDescent="0.2"/>
    <row r="58" spans="7:7" ht="15.75" customHeight="1" x14ac:dyDescent="0.2"/>
    <row r="59" spans="7:7" ht="15.75" customHeight="1" x14ac:dyDescent="0.2"/>
    <row r="60" spans="7:7" ht="15.75" customHeight="1" x14ac:dyDescent="0.2"/>
    <row r="61" spans="7:7" ht="15.75" customHeight="1" x14ac:dyDescent="0.2"/>
    <row r="62" spans="7:7" ht="15.75" customHeight="1" x14ac:dyDescent="0.2"/>
    <row r="63" spans="7:7" ht="15.75" customHeight="1" x14ac:dyDescent="0.2"/>
    <row r="64" spans="7:7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4803149606299213" right="0.74803149606299213" top="1.3775590551181101" bottom="1.3775590551181101" header="0.98385826771653495" footer="0.98385826771653495"/>
  <pageSetup paperSize="0" fitToWidth="0" fitToHeight="0" orientation="portrait" horizontalDpi="0" verticalDpi="0" copies="0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115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18</vt:i4>
      </vt:variant>
    </vt:vector>
  </HeadingPairs>
  <TitlesOfParts>
    <vt:vector size="23" baseType="lpstr">
      <vt:lpstr>Etiqueta luxo</vt:lpstr>
      <vt:lpstr>Etiqueta básica</vt:lpstr>
      <vt:lpstr>Prisma luxo</vt:lpstr>
      <vt:lpstr>Prisma básico</vt:lpstr>
      <vt:lpstr>Constantes</vt:lpstr>
      <vt:lpstr>Constantes!Area_de_impressao</vt:lpstr>
      <vt:lpstr>'Etiqueta básica'!Area_de_impressao</vt:lpstr>
      <vt:lpstr>'Etiqueta luxo'!Area_de_impressao</vt:lpstr>
      <vt:lpstr>'Prisma básico'!Area_de_impressao</vt:lpstr>
      <vt:lpstr>'Prisma luxo'!Area_de_impressao</vt:lpstr>
      <vt:lpstr>'Prisma básico'!Conc_pig</vt:lpstr>
      <vt:lpstr>Conc_pig</vt:lpstr>
      <vt:lpstr>'Prisma básico'!Material</vt:lpstr>
      <vt:lpstr>Material</vt:lpstr>
      <vt:lpstr>'Prisma básico'!Peças_inj</vt:lpstr>
      <vt:lpstr>Peças_inj</vt:lpstr>
      <vt:lpstr>'Prisma básico'!Peso_inj</vt:lpstr>
      <vt:lpstr>Peso_inj</vt:lpstr>
      <vt:lpstr>'Prisma básico'!Tempo_ciclo</vt:lpstr>
      <vt:lpstr>Tempo_ciclo</vt:lpstr>
      <vt:lpstr>TempoProd</vt:lpstr>
      <vt:lpstr>'Prisma básico'!Usa_pig</vt:lpstr>
      <vt:lpstr>Usa_pig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Eduardo Salvagni Ballico</cp:lastModifiedBy>
  <cp:revision>3</cp:revision>
  <cp:lastPrinted>2023-06-09T18:07:12Z</cp:lastPrinted>
  <dcterms:created xsi:type="dcterms:W3CDTF">2023-03-23T23:04:25Z</dcterms:created>
  <dcterms:modified xsi:type="dcterms:W3CDTF">2023-06-09T18:08:02Z</dcterms:modified>
</cp:coreProperties>
</file>